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DBI\Downloads\"/>
    </mc:Choice>
  </mc:AlternateContent>
  <xr:revisionPtr revIDLastSave="0" documentId="13_ncr:1_{97A2B744-6BD8-4BA1-8822-5AE08DD8AB34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Assignment 1" sheetId="1" r:id="rId1"/>
    <sheet name="Assignment 2" sheetId="8" r:id="rId2"/>
    <sheet name="Assignmnet 3" sheetId="10" r:id="rId3"/>
    <sheet name="Assignment 4" sheetId="9" r:id="rId4"/>
    <sheet name="Assignment 5" sheetId="12" r:id="rId5"/>
    <sheet name="Assignment - 6" sheetId="14" r:id="rId6"/>
  </sheets>
  <definedNames>
    <definedName name="_xlchart.v1.0" hidden="1">'Assignment 4'!$A$20:$A$28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4" l="1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B6" i="14" l="1"/>
  <c r="B7" i="14"/>
  <c r="B8" i="14"/>
  <c r="B9" i="14"/>
  <c r="B10" i="14"/>
  <c r="B5" i="14"/>
  <c r="B12" i="14"/>
  <c r="B11" i="14"/>
  <c r="E15" i="12"/>
  <c r="E24" i="12"/>
  <c r="E23" i="12"/>
  <c r="G21" i="12"/>
  <c r="F21" i="12"/>
  <c r="E21" i="12"/>
  <c r="G16" i="12"/>
  <c r="G17" i="12"/>
  <c r="G18" i="12"/>
  <c r="G19" i="12"/>
  <c r="G20" i="12"/>
  <c r="F16" i="12"/>
  <c r="F17" i="12"/>
  <c r="F18" i="12"/>
  <c r="F19" i="12"/>
  <c r="F20" i="12"/>
  <c r="G15" i="12"/>
  <c r="F15" i="12"/>
  <c r="E16" i="12"/>
  <c r="E17" i="12"/>
  <c r="E18" i="12"/>
  <c r="E19" i="12"/>
  <c r="E20" i="12"/>
  <c r="D16" i="12"/>
  <c r="D17" i="12"/>
  <c r="D18" i="12"/>
  <c r="D19" i="12"/>
  <c r="D20" i="12"/>
  <c r="D15" i="12"/>
  <c r="C16" i="12"/>
  <c r="C17" i="12"/>
  <c r="C18" i="12"/>
  <c r="C19" i="12"/>
  <c r="C20" i="12"/>
  <c r="C15" i="12"/>
  <c r="B22" i="12"/>
  <c r="B21" i="12"/>
  <c r="E5" i="12"/>
  <c r="D5" i="12"/>
  <c r="C33" i="10"/>
  <c r="C34" i="10"/>
  <c r="C35" i="10"/>
  <c r="C36" i="10"/>
  <c r="C37" i="10"/>
  <c r="C38" i="10"/>
  <c r="C32" i="10"/>
  <c r="B33" i="10"/>
  <c r="B34" i="10"/>
  <c r="B35" i="10"/>
  <c r="B36" i="10"/>
  <c r="B37" i="10"/>
  <c r="B38" i="10"/>
  <c r="B32" i="10"/>
  <c r="D20" i="10"/>
  <c r="D21" i="10"/>
  <c r="D22" i="10"/>
  <c r="D23" i="10"/>
  <c r="D24" i="10"/>
  <c r="D25" i="10"/>
  <c r="D26" i="10"/>
  <c r="D27" i="10"/>
  <c r="D28" i="10"/>
  <c r="D19" i="10"/>
  <c r="B19" i="10"/>
  <c r="C19" i="10"/>
  <c r="C20" i="10"/>
  <c r="C21" i="10"/>
  <c r="C22" i="10"/>
  <c r="C23" i="10"/>
  <c r="C24" i="10"/>
  <c r="C25" i="10"/>
  <c r="C26" i="10"/>
  <c r="C27" i="10"/>
  <c r="C28" i="10"/>
  <c r="B20" i="10"/>
  <c r="B21" i="10"/>
  <c r="B22" i="10"/>
  <c r="B23" i="10"/>
  <c r="B24" i="10"/>
  <c r="B25" i="10"/>
  <c r="B26" i="10"/>
  <c r="B27" i="10"/>
  <c r="B28" i="10"/>
  <c r="D6" i="10"/>
  <c r="D7" i="10"/>
  <c r="D8" i="10"/>
  <c r="D9" i="10"/>
  <c r="D10" i="10"/>
  <c r="D11" i="10"/>
  <c r="D12" i="10"/>
  <c r="D13" i="10"/>
  <c r="D14" i="10"/>
  <c r="D5" i="10"/>
  <c r="C6" i="10"/>
  <c r="C5" i="10"/>
  <c r="F73" i="9"/>
  <c r="F72" i="9"/>
  <c r="F71" i="9"/>
  <c r="F70" i="9"/>
  <c r="F69" i="9"/>
  <c r="F68" i="9"/>
  <c r="F67" i="9"/>
  <c r="E73" i="9"/>
  <c r="E72" i="9"/>
  <c r="E71" i="9"/>
  <c r="E70" i="9"/>
  <c r="E69" i="9"/>
  <c r="E68" i="9"/>
  <c r="E67" i="9"/>
  <c r="D21" i="8"/>
  <c r="D20" i="8"/>
  <c r="H6" i="8"/>
  <c r="H5" i="8"/>
  <c r="H4" i="8"/>
  <c r="H3" i="8"/>
  <c r="F14" i="8"/>
  <c r="F5" i="8"/>
  <c r="F6" i="8"/>
  <c r="F7" i="8"/>
  <c r="F8" i="8"/>
  <c r="F9" i="8"/>
  <c r="F10" i="8"/>
  <c r="F11" i="8"/>
  <c r="F12" i="8"/>
  <c r="F13" i="8"/>
  <c r="F4" i="8"/>
  <c r="E5" i="8"/>
  <c r="E6" i="8"/>
  <c r="E7" i="8"/>
  <c r="E8" i="8"/>
  <c r="E9" i="8"/>
  <c r="E10" i="8"/>
  <c r="E11" i="8"/>
  <c r="E12" i="8"/>
  <c r="E13" i="8"/>
  <c r="D5" i="8"/>
  <c r="D6" i="8"/>
  <c r="D7" i="8"/>
  <c r="D8" i="8"/>
  <c r="D9" i="8"/>
  <c r="D10" i="8"/>
  <c r="D11" i="8"/>
  <c r="D12" i="8"/>
  <c r="D13" i="8"/>
  <c r="D4" i="8"/>
  <c r="E4" i="8"/>
  <c r="B16" i="8"/>
  <c r="C14" i="8"/>
  <c r="B14" i="8"/>
  <c r="C5" i="8"/>
  <c r="C6" i="8"/>
  <c r="C7" i="8"/>
  <c r="C8" i="8"/>
  <c r="C9" i="8"/>
  <c r="C10" i="8"/>
  <c r="C11" i="8"/>
  <c r="C12" i="8"/>
  <c r="C13" i="8"/>
  <c r="C4" i="8"/>
  <c r="L13" i="1"/>
  <c r="L12" i="1"/>
  <c r="L11" i="1"/>
  <c r="L10" i="1"/>
  <c r="L8" i="1"/>
  <c r="L7" i="1"/>
  <c r="L6" i="1"/>
  <c r="L5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<sst xmlns="http://schemas.openxmlformats.org/spreadsheetml/2006/main" count="151" uniqueCount="135">
  <si>
    <t>Assignment 1</t>
  </si>
  <si>
    <t>Mean = AVERAGE(A1:A15)</t>
  </si>
  <si>
    <t>Median = MEDIAN(A1:A15)</t>
  </si>
  <si>
    <t>Mode = MODE.SNGL(A1:A15)</t>
  </si>
  <si>
    <t>Min = MIN(A1:A15)</t>
  </si>
  <si>
    <t>Max = MAX(A1:A15)</t>
  </si>
  <si>
    <t>Variance (Pop) = VAR.P(A1:A15)</t>
  </si>
  <si>
    <t>Std Dev (Pop) = STDEV.P(A1:A15)</t>
  </si>
  <si>
    <t>X</t>
  </si>
  <si>
    <t>Q2 :-</t>
  </si>
  <si>
    <t>Q3:-</t>
  </si>
  <si>
    <t xml:space="preserve">AVERAGE = </t>
  </si>
  <si>
    <t>MEDIAN =</t>
  </si>
  <si>
    <t>MODE.SNGL =</t>
  </si>
  <si>
    <t>MIN =</t>
  </si>
  <si>
    <t xml:space="preserve">MAX = </t>
  </si>
  <si>
    <t>VAR.P =</t>
  </si>
  <si>
    <t>STDEV.P =</t>
  </si>
  <si>
    <t>Q4</t>
  </si>
  <si>
    <t>A</t>
  </si>
  <si>
    <t>A(2004)</t>
  </si>
  <si>
    <t>B(1990)</t>
  </si>
  <si>
    <t>SUM =</t>
  </si>
  <si>
    <t>MEAN (2004) =</t>
  </si>
  <si>
    <t>MEDIAN(2004) =</t>
  </si>
  <si>
    <t>MODE(2004) =</t>
  </si>
  <si>
    <t>MID-RANGE(2004) =</t>
  </si>
  <si>
    <t>MEAN (1990) =</t>
  </si>
  <si>
    <t>MEDIAN(1990) =</t>
  </si>
  <si>
    <t>MODE(1990) =</t>
  </si>
  <si>
    <t>MID-RANGE(1990) =</t>
  </si>
  <si>
    <t>Q5:-</t>
  </si>
  <si>
    <t>Q4:-</t>
  </si>
  <si>
    <t xml:space="preserve">MEAN = </t>
  </si>
  <si>
    <t>Assignment - 2</t>
  </si>
  <si>
    <t>(x - mean)^2</t>
  </si>
  <si>
    <t>x</t>
  </si>
  <si>
    <t>f</t>
  </si>
  <si>
    <t>fx</t>
  </si>
  <si>
    <t>x - mean</t>
  </si>
  <si>
    <t>f(x - mean)^2</t>
  </si>
  <si>
    <t>Population Variance =</t>
  </si>
  <si>
    <t>Population Standard Deviation =</t>
  </si>
  <si>
    <t>Sample Variance =</t>
  </si>
  <si>
    <t>Sample Standard Deviation =</t>
  </si>
  <si>
    <t xml:space="preserve"> </t>
  </si>
  <si>
    <t>Variance =</t>
  </si>
  <si>
    <t>Standard Deviation =</t>
  </si>
  <si>
    <t>DATA</t>
  </si>
  <si>
    <t>Q1:-</t>
  </si>
  <si>
    <t>y</t>
  </si>
  <si>
    <t>Q2:-</t>
  </si>
  <si>
    <t>Date</t>
  </si>
  <si>
    <t>category</t>
  </si>
  <si>
    <t>B</t>
  </si>
  <si>
    <t>C</t>
  </si>
  <si>
    <t>D</t>
  </si>
  <si>
    <t>Value</t>
  </si>
  <si>
    <t>time</t>
  </si>
  <si>
    <t>value</t>
  </si>
  <si>
    <t>1998 Data</t>
  </si>
  <si>
    <t>2003 Data</t>
  </si>
  <si>
    <t>class interval</t>
  </si>
  <si>
    <t>0-5</t>
  </si>
  <si>
    <t>16-20</t>
  </si>
  <si>
    <t>21-25</t>
  </si>
  <si>
    <t>26-30</t>
  </si>
  <si>
    <t>31-35</t>
  </si>
  <si>
    <t>freq(1998)</t>
  </si>
  <si>
    <t>freq(2003)</t>
  </si>
  <si>
    <t>Assignmnet  4</t>
  </si>
  <si>
    <t>Data</t>
  </si>
  <si>
    <t>std dev=</t>
  </si>
  <si>
    <t>mean=</t>
  </si>
  <si>
    <t>z-score</t>
  </si>
  <si>
    <t>Assignment - 3</t>
  </si>
  <si>
    <t>data</t>
  </si>
  <si>
    <t>Percentile (%)</t>
  </si>
  <si>
    <t>rank</t>
  </si>
  <si>
    <t>Percentile rank</t>
  </si>
  <si>
    <t>Percentile(%)</t>
  </si>
  <si>
    <t>scores</t>
  </si>
  <si>
    <t>Percentile Rank</t>
  </si>
  <si>
    <t>Assignment 5 -</t>
  </si>
  <si>
    <t>Y</t>
  </si>
  <si>
    <t>population cavariance</t>
  </si>
  <si>
    <t>correlation</t>
  </si>
  <si>
    <t>mean(x)=</t>
  </si>
  <si>
    <t>mean(y)=</t>
  </si>
  <si>
    <t>x-mean(x)</t>
  </si>
  <si>
    <t xml:space="preserve">    x-mean(y)</t>
  </si>
  <si>
    <t>(x-mean(x))^2</t>
  </si>
  <si>
    <t>(y-mean(y))^2</t>
  </si>
  <si>
    <t xml:space="preserve">                             SUM=</t>
  </si>
  <si>
    <t>Population Covariance=</t>
  </si>
  <si>
    <t>Correlation =</t>
  </si>
  <si>
    <t>X-mean(x)*Y-mean(y)</t>
  </si>
  <si>
    <t>Assignment - 6</t>
  </si>
  <si>
    <t xml:space="preserve">Q1:- </t>
  </si>
  <si>
    <t xml:space="preserve">mean = </t>
  </si>
  <si>
    <t xml:space="preserve">STDEV.P = </t>
  </si>
  <si>
    <t>z - score</t>
  </si>
  <si>
    <t>Hours Studied (X)</t>
  </si>
  <si>
    <t>Exam Score (Y)</t>
  </si>
  <si>
    <t>input x range</t>
  </si>
  <si>
    <t>inpute y range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</si>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</sst>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C00"/>
        <bgColor indexed="64"/>
      </patternFill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" fontId="0" fillId="0" borderId="0" xfId="0" applyNumberFormat="1"/>
    <xf numFmtId="17" fontId="0" fillId="0" borderId="0" xfId="0" applyNumberFormat="1"/>
    <xf numFmtId="0" fontId="1" fillId="2" borderId="0" xfId="0" applyFont="1" applyFill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Scatter</a:t>
            </a:r>
            <a:r>
              <a:rPr lang="en-IN" baseline="0"/>
              <a:t>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'Assignment 4'!$A$5:$A$9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'Assignment 4'!$B$5:$B$9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7F-4494-8D2D-74623E828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413936"/>
        <c:axId val="304414416"/>
      </c:scatterChart>
      <c:valAx>
        <c:axId val="30441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414416"/>
        <c:crosses val="autoZero"/>
        <c:crossBetween val="midCat"/>
      </c:valAx>
      <c:valAx>
        <c:axId val="30441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41393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'Assignment 4'!$A$36:$A$39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'Assignment 4'!$B$36:$B$39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7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B-4E61-A566-8C0C8E3D3A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4376016"/>
        <c:axId val="304376496"/>
      </c:barChart>
      <c:catAx>
        <c:axId val="30437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catregory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76496"/>
        <c:crosses val="autoZero"/>
        <c:auto val="1"/>
        <c:lblAlgn val="ctr"/>
        <c:lblOffset val="100"/>
        <c:noMultiLvlLbl val="0"/>
      </c:catAx>
      <c:valAx>
        <c:axId val="30437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7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'Assignment 4'!$A$54:$A$58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9-44EB-9423-EC4C336479B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'Assignment 4'!$B$54:$B$58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9-44EB-9423-EC4C33647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681984"/>
        <c:axId val="292684384"/>
      </c:lineChart>
      <c:catAx>
        <c:axId val="29268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684384"/>
        <c:crosses val="autoZero"/>
        <c:auto val="1"/>
        <c:lblAlgn val="ctr"/>
        <c:lblOffset val="100"/>
        <c:noMultiLvlLbl val="0"/>
      </c:catAx>
      <c:valAx>
        <c:axId val="2926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68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Histogram</a:t>
            </a:r>
            <a:r>
              <a:rPr lang="en-IN" baseline="0"/>
              <a:t> (1998)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'Assignment 4'!$D$67:$D$73</c:f>
              <c:strCache>
                <c:ptCount val="7"/>
                <c:pt idx="0">
                  <c:v>0-5</c:v>
                </c:pt>
                <c:pt idx="1">
                  <c:v>06-Oct</c:v>
                </c:pt>
                <c:pt idx="2">
                  <c:v>Nov-15</c:v>
                </c:pt>
                <c:pt idx="3">
                  <c:v>16-20</c:v>
                </c:pt>
                <c:pt idx="4">
                  <c:v>21-25</c:v>
                </c:pt>
                <c:pt idx="5">
                  <c:v>26-30</c:v>
                </c:pt>
                <c:pt idx="6">
                  <c:v>31-35</c:v>
                </c:pt>
              </c:strCache>
            </c:strRef>
          </c:cat>
          <c:val>
            <c:numRef>
              <c:f>'Assignment 4'!$E$67:$E$73</c:f>
              <c:numCache>
                <c:formatCode>General</c:formatCode>
                <c:ptCount val="7"/>
                <c:pt idx="0">
                  <c:v>18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A-4F3E-84E2-4D0CB0335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390416"/>
        <c:axId val="304374096"/>
      </c:barChart>
      <c:catAx>
        <c:axId val="304390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class</a:t>
                </a:r>
                <a:r>
                  <a:rPr lang="en-IN" baseline="0"/>
                  <a:t> interval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74096"/>
        <c:crosses val="autoZero"/>
        <c:auto val="1"/>
        <c:lblAlgn val="ctr"/>
        <c:lblOffset val="100"/>
        <c:noMultiLvlLbl val="0"/>
      </c:catAx>
      <c:valAx>
        <c:axId val="3043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9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Histogram(2003)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'Assignment 4'!$D$67:$D$73</c:f>
              <c:strCache>
                <c:ptCount val="7"/>
                <c:pt idx="0">
                  <c:v>0-5</c:v>
                </c:pt>
                <c:pt idx="1">
                  <c:v>06-Oct</c:v>
                </c:pt>
                <c:pt idx="2">
                  <c:v>Nov-15</c:v>
                </c:pt>
                <c:pt idx="3">
                  <c:v>16-20</c:v>
                </c:pt>
                <c:pt idx="4">
                  <c:v>21-25</c:v>
                </c:pt>
                <c:pt idx="5">
                  <c:v>26-30</c:v>
                </c:pt>
                <c:pt idx="6">
                  <c:v>31-35</c:v>
                </c:pt>
              </c:strCache>
            </c:strRef>
          </c:cat>
          <c:val>
            <c:numRef>
              <c:f>'Assignment 4'!$F$67:$F$73</c:f>
              <c:numCache>
                <c:formatCode>General</c:formatCode>
                <c:ptCount val="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11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8-45A2-AFA7-7BA913002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397616"/>
        <c:axId val="304394736"/>
      </c:barChart>
      <c:catAx>
        <c:axId val="30439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94736"/>
        <c:crosses val="autoZero"/>
        <c:auto val="1"/>
        <c:lblAlgn val="ctr"/>
        <c:lblOffset val="100"/>
        <c:noMultiLvlLbl val="0"/>
      </c:catAx>
      <c:valAx>
        <c:axId val="30439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9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07219809917267"/>
          <c:y val="0.23939438103392663"/>
          <c:w val="0.77083030319867818"/>
          <c:h val="0.5353486697365191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'Assignment - 6'!$A$16:$A$45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'Assignment - 6'!$G$39:$G$68</c:f>
              <c:numCache>
                <c:formatCode>General</c:formatCode>
                <c:ptCount val="30"/>
                <c:pt idx="0">
                  <c:v>-15.681720430107525</c:v>
                </c:pt>
                <c:pt idx="1">
                  <c:v>-5.8990730441230994</c:v>
                </c:pt>
                <c:pt idx="2">
                  <c:v>3.8835743418613333</c:v>
                </c:pt>
                <c:pt idx="3">
                  <c:v>13.666221727845759</c:v>
                </c:pt>
                <c:pt idx="4">
                  <c:v>23.448869113830185</c:v>
                </c:pt>
                <c:pt idx="5">
                  <c:v>-27.76848350018539</c:v>
                </c:pt>
                <c:pt idx="6">
                  <c:v>-16.985836114200964</c:v>
                </c:pt>
                <c:pt idx="7">
                  <c:v>14.796811271783469</c:v>
                </c:pt>
                <c:pt idx="8">
                  <c:v>-7.4205413422321058</c:v>
                </c:pt>
                <c:pt idx="9">
                  <c:v>-20.63789395624768</c:v>
                </c:pt>
                <c:pt idx="10">
                  <c:v>-7.8552465702632546</c:v>
                </c:pt>
                <c:pt idx="11">
                  <c:v>13.927400815721171</c:v>
                </c:pt>
                <c:pt idx="12">
                  <c:v>35.710048201705604</c:v>
                </c:pt>
                <c:pt idx="13">
                  <c:v>36.492695587690029</c:v>
                </c:pt>
                <c:pt idx="14">
                  <c:v>-30.724657026325545</c:v>
                </c:pt>
                <c:pt idx="15">
                  <c:v>-10.942009640341119</c:v>
                </c:pt>
                <c:pt idx="16">
                  <c:v>8.8406377456433063</c:v>
                </c:pt>
                <c:pt idx="17">
                  <c:v>19.623285131627732</c:v>
                </c:pt>
                <c:pt idx="18">
                  <c:v>32.405932517612165</c:v>
                </c:pt>
                <c:pt idx="19">
                  <c:v>-41.81142009640341</c:v>
                </c:pt>
                <c:pt idx="20">
                  <c:v>-31.028772710418984</c:v>
                </c:pt>
                <c:pt idx="21">
                  <c:v>-19.246125324434558</c:v>
                </c:pt>
                <c:pt idx="22">
                  <c:v>23.536522061549867</c:v>
                </c:pt>
                <c:pt idx="23">
                  <c:v>29.3191694475343</c:v>
                </c:pt>
                <c:pt idx="24">
                  <c:v>8.1018168335187255</c:v>
                </c:pt>
                <c:pt idx="25">
                  <c:v>-14.115535780496849</c:v>
                </c:pt>
                <c:pt idx="26">
                  <c:v>8.6671116054875768</c:v>
                </c:pt>
                <c:pt idx="27">
                  <c:v>-14.550241008527998</c:v>
                </c:pt>
                <c:pt idx="28">
                  <c:v>18.232406377456428</c:v>
                </c:pt>
                <c:pt idx="29">
                  <c:v>-25.984946236559139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88-49DB-ABBE-0C558DE75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795311"/>
        <c:axId val="1085795791"/>
      </c:scatterChart>
      <c:valAx>
        <c:axId val="108579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5795791"/>
        <c:crosses val="autoZero"/>
        <c:crossBetween val="midCat"/>
      </c:valAx>
      <c:valAx>
        <c:axId val="10857957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579531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88809338207697E-2"/>
          <c:y val="0.10994890786049044"/>
          <c:w val="0.5981864405764038"/>
          <c:h val="0.7531372767239094"/>
        </c:manualLayout>
      </c:layout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'Assignment - 6'!$A$16:$A$45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'Assignment - 6'!$B$16:$B$45</c:f>
              <c:numCache>
                <c:formatCode>General</c:formatCode>
                <c:ptCount val="30"/>
                <c:pt idx="0">
                  <c:v>35</c:v>
                </c:pt>
                <c:pt idx="1">
                  <c:v>45</c:v>
                </c:pt>
                <c:pt idx="2">
                  <c:v>55</c:v>
                </c:pt>
                <c:pt idx="3">
                  <c:v>65</c:v>
                </c:pt>
                <c:pt idx="4">
                  <c:v>75</c:v>
                </c:pt>
                <c:pt idx="5">
                  <c:v>24</c:v>
                </c:pt>
                <c:pt idx="6">
                  <c:v>35</c:v>
                </c:pt>
                <c:pt idx="7">
                  <c:v>67</c:v>
                </c:pt>
                <c:pt idx="8">
                  <c:v>45</c:v>
                </c:pt>
                <c:pt idx="9">
                  <c:v>32</c:v>
                </c:pt>
                <c:pt idx="10">
                  <c:v>45</c:v>
                </c:pt>
                <c:pt idx="11">
                  <c:v>67</c:v>
                </c:pt>
                <c:pt idx="12">
                  <c:v>89</c:v>
                </c:pt>
                <c:pt idx="13">
                  <c:v>90</c:v>
                </c:pt>
                <c:pt idx="14">
                  <c:v>23</c:v>
                </c:pt>
                <c:pt idx="15">
                  <c:v>43</c:v>
                </c:pt>
                <c:pt idx="16">
                  <c:v>63</c:v>
                </c:pt>
                <c:pt idx="17">
                  <c:v>74</c:v>
                </c:pt>
                <c:pt idx="18">
                  <c:v>87</c:v>
                </c:pt>
                <c:pt idx="19">
                  <c:v>13</c:v>
                </c:pt>
                <c:pt idx="20">
                  <c:v>24</c:v>
                </c:pt>
                <c:pt idx="21">
                  <c:v>36</c:v>
                </c:pt>
                <c:pt idx="22">
                  <c:v>79</c:v>
                </c:pt>
                <c:pt idx="23">
                  <c:v>85</c:v>
                </c:pt>
                <c:pt idx="24">
                  <c:v>64</c:v>
                </c:pt>
                <c:pt idx="25">
                  <c:v>42</c:v>
                </c:pt>
                <c:pt idx="26">
                  <c:v>65</c:v>
                </c:pt>
                <c:pt idx="27">
                  <c:v>42</c:v>
                </c:pt>
                <c:pt idx="28">
                  <c:v>75</c:v>
                </c:pt>
                <c:pt idx="29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EF-45D0-8DC8-ADAE444A17B2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'Assignment - 6'!$A$16:$A$45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'Assignment - 6'!$F$39:$F$68</c:f>
              <c:numCache>
                <c:formatCode>General</c:formatCode>
                <c:ptCount val="30"/>
                <c:pt idx="0">
                  <c:v>50.681720430107525</c:v>
                </c:pt>
                <c:pt idx="1">
                  <c:v>50.899073044123099</c:v>
                </c:pt>
                <c:pt idx="2">
                  <c:v>51.116425658138667</c:v>
                </c:pt>
                <c:pt idx="3">
                  <c:v>51.333778272154241</c:v>
                </c:pt>
                <c:pt idx="4">
                  <c:v>51.551130886169815</c:v>
                </c:pt>
                <c:pt idx="5">
                  <c:v>51.76848350018539</c:v>
                </c:pt>
                <c:pt idx="6">
                  <c:v>51.985836114200964</c:v>
                </c:pt>
                <c:pt idx="7">
                  <c:v>52.203188728216531</c:v>
                </c:pt>
                <c:pt idx="8">
                  <c:v>52.420541342232106</c:v>
                </c:pt>
                <c:pt idx="9">
                  <c:v>52.63789395624768</c:v>
                </c:pt>
                <c:pt idx="10">
                  <c:v>52.855246570263255</c:v>
                </c:pt>
                <c:pt idx="11">
                  <c:v>53.072599184278829</c:v>
                </c:pt>
                <c:pt idx="12">
                  <c:v>53.289951798294396</c:v>
                </c:pt>
                <c:pt idx="13">
                  <c:v>53.507304412309971</c:v>
                </c:pt>
                <c:pt idx="14">
                  <c:v>53.724657026325545</c:v>
                </c:pt>
                <c:pt idx="15">
                  <c:v>53.942009640341119</c:v>
                </c:pt>
                <c:pt idx="16">
                  <c:v>54.159362254356694</c:v>
                </c:pt>
                <c:pt idx="17">
                  <c:v>54.376714868372268</c:v>
                </c:pt>
                <c:pt idx="18">
                  <c:v>54.594067482387835</c:v>
                </c:pt>
                <c:pt idx="19">
                  <c:v>54.81142009640341</c:v>
                </c:pt>
                <c:pt idx="20">
                  <c:v>55.028772710418984</c:v>
                </c:pt>
                <c:pt idx="21">
                  <c:v>55.246125324434558</c:v>
                </c:pt>
                <c:pt idx="22">
                  <c:v>55.463477938450133</c:v>
                </c:pt>
                <c:pt idx="23">
                  <c:v>55.6808305524657</c:v>
                </c:pt>
                <c:pt idx="24">
                  <c:v>55.898183166481274</c:v>
                </c:pt>
                <c:pt idx="25">
                  <c:v>56.115535780496849</c:v>
                </c:pt>
                <c:pt idx="26">
                  <c:v>56.332888394512423</c:v>
                </c:pt>
                <c:pt idx="27">
                  <c:v>56.550241008527998</c:v>
                </c:pt>
                <c:pt idx="28">
                  <c:v>56.767593622543572</c:v>
                </c:pt>
                <c:pt idx="29">
                  <c:v>56.984946236559139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EF-45D0-8DC8-ADAE444A1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799151"/>
        <c:axId val="1085802991"/>
      </c:scatterChart>
      <c:valAx>
        <c:axId val="1085799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5802991"/>
        <c:crosses val="autoZero"/>
        <c:crossBetween val="midCat"/>
      </c:valAx>
      <c:valAx>
        <c:axId val="10858029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857991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</a:t>
          </a:r>
        </a:p>
      </cx:txPr>
    </cx:title>
    <cx:plotArea>
      <cx:plotAreaRegion>
        <cx:plotSurface>
          <cx:spPr>
            <a:ln w="63500">
              <a:solidFill>
                <a:schemeClr val="accent1"/>
              </a:solidFill>
            </a:ln>
          </cx:spPr>
        </cx:plotSurface>
        <cx:series layoutId="clusteredColumn" uniqueId="{613BAFA2-2BF4-49A8-8438-9BF3B1F6D022}">
          <cx:dataId val="0"/>
          <cx:layoutPr>
            <cx:binning intervalClosed="r"/>
          </cx:layoutPr>
        </cx:series>
      </cx:plotAreaRegion>
      <cx:axis id="0">
        <cx:catScaling gapWidth="1.76999998"/>
        <cx:title>
          <cx:tx>
            <cx:txData>
              <cx:v>class interval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class interval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339725</xdr:colOff>
      <xdr:row>1</xdr:row>
      <xdr:rowOff>0</xdr:rowOff>
    </xdr:from>
    <xdr:to>
      <xdr:col>10</xdr:col>
      <xdr:colOff>34925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A50BA2-90AA-9A0E-78E6-99EDCD6A3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161925</xdr:colOff>
      <xdr:row>16</xdr:row>
      <xdr:rowOff>6350</xdr:rowOff>
    </xdr:from>
    <xdr:to>
      <xdr:col>8</xdr:col>
      <xdr:colOff>466725</xdr:colOff>
      <xdr:row>30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9FB6360-9B98-B188-EFEB-6CEE6B255C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675" y="2952750"/>
              <a:ext cx="51498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307975</xdr:colOff>
      <xdr:row>33</xdr:row>
      <xdr:rowOff>25400</xdr:rowOff>
    </xdr:from>
    <xdr:to>
      <xdr:col>10</xdr:col>
      <xdr:colOff>3175</xdr:colOff>
      <xdr:row>48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4D0C3C-466E-959D-2CD8-31E5A410A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123825</xdr:colOff>
      <xdr:row>48</xdr:row>
      <xdr:rowOff>38100</xdr:rowOff>
    </xdr:from>
    <xdr:to>
      <xdr:col>9</xdr:col>
      <xdr:colOff>428625</xdr:colOff>
      <xdr:row>63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567710-ACC1-85C5-01E7-950B7F5B5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159308</xdr:colOff>
      <xdr:row>63</xdr:row>
      <xdr:rowOff>159418</xdr:rowOff>
    </xdr:from>
    <xdr:to>
      <xdr:col>14</xdr:col>
      <xdr:colOff>442273</xdr:colOff>
      <xdr:row>78</xdr:row>
      <xdr:rowOff>68179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BBA7AB-B380-AF6E-D61D-FA01071CE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170448</xdr:colOff>
      <xdr:row>79</xdr:row>
      <xdr:rowOff>98926</xdr:rowOff>
    </xdr:from>
    <xdr:to>
      <xdr:col>14</xdr:col>
      <xdr:colOff>453413</xdr:colOff>
      <xdr:row>94</xdr:row>
      <xdr:rowOff>1336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CAD553-C1D1-C98B-97D9-A0E210230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255155</xdr:colOff>
      <xdr:row>25</xdr:row>
      <xdr:rowOff>25978</xdr:rowOff>
    </xdr:from>
    <xdr:to>
      <xdr:col>19</xdr:col>
      <xdr:colOff>255155</xdr:colOff>
      <xdr:row>35</xdr:row>
      <xdr:rowOff>10391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5B582-0320-D0E6-C894-E91896AB0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243610</xdr:colOff>
      <xdr:row>13</xdr:row>
      <xdr:rowOff>159327</xdr:rowOff>
    </xdr:from>
    <xdr:to>
      <xdr:col>19</xdr:col>
      <xdr:colOff>243610</xdr:colOff>
      <xdr:row>23</xdr:row>
      <xdr:rowOff>148937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812EA6-9CEF-1FF3-932B-0D3A6A995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zoomScale="74" zoomScaleNormal="85" workbookViewId="0">
      <selection activeCell="G22" sqref="G22"/>
    </sheetView>
  </sheetViews>
  <sheetFormatPr defaultRowHeight="14.5" x14ac:dyDescent="0.35"/>
  <cols>
    <col min="5" max="5" width="11.6328125" customWidth="1"/>
    <col min="6" max="6" width="12.54296875" customWidth="1"/>
    <col min="7" max="7" width="27.453125" customWidth="1"/>
    <col min="11" max="11" width="16.453125" customWidth="1"/>
  </cols>
  <sheetData>
    <row r="1" spans="1:12" x14ac:dyDescent="0.35">
      <c r="A1" s="1" t="s">
        <v>0</v>
      </c>
      <c r="B1" s="1"/>
    </row>
    <row r="3" spans="1:12" x14ac:dyDescent="0.35">
      <c r="A3" s="1" t="s">
        <v>9</v>
      </c>
      <c r="E3" s="1" t="s">
        <v>10</v>
      </c>
      <c r="I3" s="1" t="s">
        <v>32</v>
      </c>
    </row>
    <row r="4" spans="1:12" x14ac:dyDescent="0.35">
      <c r="A4" t="s">
        <v>1</v>
      </c>
      <c r="E4">
        <v>1</v>
      </c>
      <c r="F4" t="s">
        <v>11</v>
      </c>
      <c r="G4">
        <f>AVERAGE(E4:E18)</f>
        <v>4.333333333333333</v>
      </c>
      <c r="I4" t="s">
        <v>20</v>
      </c>
      <c r="J4" t="s">
        <v>21</v>
      </c>
    </row>
    <row r="5" spans="1:12" x14ac:dyDescent="0.35">
      <c r="A5" t="s">
        <v>2</v>
      </c>
      <c r="E5">
        <v>2</v>
      </c>
      <c r="F5" t="s">
        <v>12</v>
      </c>
      <c r="G5">
        <f>MEDIAN(E4:E18)</f>
        <v>4</v>
      </c>
      <c r="I5">
        <v>11270</v>
      </c>
      <c r="J5">
        <v>13374</v>
      </c>
      <c r="K5" s="1" t="s">
        <v>23</v>
      </c>
      <c r="L5">
        <f>AVERAGE(I5:I28)</f>
        <v>8421.1666666666661</v>
      </c>
    </row>
    <row r="6" spans="1:12" x14ac:dyDescent="0.35">
      <c r="A6" t="s">
        <v>3</v>
      </c>
      <c r="E6">
        <v>3</v>
      </c>
      <c r="F6" t="s">
        <v>13</v>
      </c>
      <c r="G6">
        <f>_xlfn.MODE.SNGL(E4:E18)</f>
        <v>3</v>
      </c>
      <c r="I6">
        <v>8220</v>
      </c>
      <c r="J6">
        <v>9278</v>
      </c>
      <c r="K6" s="1" t="s">
        <v>24</v>
      </c>
      <c r="L6">
        <f>MEDIAN(I5:I28)</f>
        <v>8197</v>
      </c>
    </row>
    <row r="7" spans="1:12" x14ac:dyDescent="0.35">
      <c r="A7" t="s">
        <v>4</v>
      </c>
      <c r="E7">
        <v>6</v>
      </c>
      <c r="F7" t="s">
        <v>14</v>
      </c>
      <c r="G7">
        <f>MIN(E4:E18)</f>
        <v>1</v>
      </c>
      <c r="I7">
        <v>5463</v>
      </c>
      <c r="J7">
        <v>6113</v>
      </c>
      <c r="K7" s="1" t="s">
        <v>25</v>
      </c>
      <c r="L7" t="e">
        <f>_xlfn.MODE.SNGL(I5:I28)</f>
        <v>#N/A</v>
      </c>
    </row>
    <row r="8" spans="1:12" x14ac:dyDescent="0.35">
      <c r="A8" t="s">
        <v>5</v>
      </c>
      <c r="E8">
        <v>7</v>
      </c>
      <c r="F8" t="s">
        <v>15</v>
      </c>
      <c r="G8">
        <f>MAX(E4:E18)</f>
        <v>9</v>
      </c>
      <c r="I8">
        <v>8739</v>
      </c>
      <c r="J8">
        <v>9229</v>
      </c>
      <c r="K8" s="1" t="s">
        <v>26</v>
      </c>
      <c r="L8">
        <f>(MIN(I5:I28)+MAX(I5:I28))/2</f>
        <v>9984.5</v>
      </c>
    </row>
    <row r="9" spans="1:12" x14ac:dyDescent="0.35">
      <c r="A9" t="s">
        <v>6</v>
      </c>
      <c r="E9">
        <v>4</v>
      </c>
      <c r="F9" t="s">
        <v>16</v>
      </c>
      <c r="G9">
        <f>_xlfn.VAR.P(E4:E18)</f>
        <v>5.9555555555555557</v>
      </c>
      <c r="I9">
        <v>6199</v>
      </c>
      <c r="J9">
        <v>10687</v>
      </c>
    </row>
    <row r="10" spans="1:12" x14ac:dyDescent="0.35">
      <c r="A10" t="s">
        <v>7</v>
      </c>
      <c r="E10">
        <v>6</v>
      </c>
      <c r="F10" t="s">
        <v>17</v>
      </c>
      <c r="G10">
        <f>_xlfn.STDEV.P(E4:E18)</f>
        <v>2.4404006956964168</v>
      </c>
      <c r="I10">
        <v>10309</v>
      </c>
      <c r="J10">
        <v>11221</v>
      </c>
      <c r="K10" s="1" t="s">
        <v>27</v>
      </c>
      <c r="L10">
        <f>AVERAGE(J5:J28)</f>
        <v>9810</v>
      </c>
    </row>
    <row r="11" spans="1:12" x14ac:dyDescent="0.35">
      <c r="E11">
        <v>4</v>
      </c>
      <c r="I11">
        <v>9964</v>
      </c>
      <c r="J11">
        <v>10823</v>
      </c>
      <c r="K11" s="1" t="s">
        <v>28</v>
      </c>
      <c r="L11">
        <f>MEDIAN(J5:J28)</f>
        <v>9214.5</v>
      </c>
    </row>
    <row r="12" spans="1:12" x14ac:dyDescent="0.35">
      <c r="E12">
        <v>3</v>
      </c>
      <c r="I12">
        <v>14340</v>
      </c>
      <c r="J12">
        <v>14292</v>
      </c>
      <c r="K12" s="1" t="s">
        <v>29</v>
      </c>
      <c r="L12" t="e">
        <f>_xlfn.MODE.SNGL(J5:J28)</f>
        <v>#N/A</v>
      </c>
    </row>
    <row r="13" spans="1:12" x14ac:dyDescent="0.35">
      <c r="E13">
        <v>6</v>
      </c>
      <c r="I13">
        <v>8825</v>
      </c>
      <c r="J13">
        <v>9200</v>
      </c>
      <c r="K13" s="1" t="s">
        <v>30</v>
      </c>
      <c r="L13">
        <f>(MIN(J5:J28)+MAX(J5:J28))/2</f>
        <v>13345.5</v>
      </c>
    </row>
    <row r="14" spans="1:12" x14ac:dyDescent="0.35">
      <c r="E14">
        <v>8</v>
      </c>
      <c r="I14">
        <v>5132</v>
      </c>
      <c r="J14">
        <v>4768</v>
      </c>
    </row>
    <row r="15" spans="1:12" x14ac:dyDescent="0.35">
      <c r="E15">
        <v>9</v>
      </c>
      <c r="I15">
        <v>8174</v>
      </c>
      <c r="J15">
        <v>9656</v>
      </c>
    </row>
    <row r="16" spans="1:12" x14ac:dyDescent="0.35">
      <c r="E16">
        <v>2</v>
      </c>
      <c r="I16">
        <v>5282</v>
      </c>
      <c r="J16">
        <v>21923</v>
      </c>
    </row>
    <row r="17" spans="5:10" x14ac:dyDescent="0.35">
      <c r="E17">
        <v>1</v>
      </c>
      <c r="I17">
        <v>5307</v>
      </c>
      <c r="J17">
        <v>5319</v>
      </c>
    </row>
    <row r="18" spans="5:10" x14ac:dyDescent="0.35">
      <c r="E18">
        <v>3</v>
      </c>
      <c r="I18">
        <v>14925</v>
      </c>
      <c r="J18">
        <v>15174</v>
      </c>
    </row>
    <row r="19" spans="5:10" x14ac:dyDescent="0.35">
      <c r="I19">
        <v>14849</v>
      </c>
      <c r="J19">
        <v>15864</v>
      </c>
    </row>
    <row r="20" spans="5:10" x14ac:dyDescent="0.35">
      <c r="I20">
        <v>5707</v>
      </c>
      <c r="J20">
        <v>5748</v>
      </c>
    </row>
    <row r="21" spans="5:10" x14ac:dyDescent="0.35">
      <c r="I21">
        <v>7439</v>
      </c>
      <c r="J21">
        <v>8133</v>
      </c>
    </row>
    <row r="22" spans="5:10" x14ac:dyDescent="0.35">
      <c r="I22">
        <v>8395</v>
      </c>
      <c r="J22">
        <v>9135</v>
      </c>
    </row>
    <row r="23" spans="5:10" x14ac:dyDescent="0.35">
      <c r="I23">
        <v>5044</v>
      </c>
      <c r="J23">
        <v>5784</v>
      </c>
    </row>
    <row r="24" spans="5:10" x14ac:dyDescent="0.35">
      <c r="I24">
        <v>7869</v>
      </c>
      <c r="J24">
        <v>8286</v>
      </c>
    </row>
    <row r="25" spans="5:10" x14ac:dyDescent="0.35">
      <c r="I25">
        <v>10493</v>
      </c>
      <c r="J25">
        <v>9126</v>
      </c>
    </row>
    <row r="26" spans="5:10" x14ac:dyDescent="0.35">
      <c r="I26">
        <v>8397</v>
      </c>
      <c r="J26">
        <v>9901</v>
      </c>
    </row>
    <row r="27" spans="5:10" x14ac:dyDescent="0.35">
      <c r="I27">
        <v>5094</v>
      </c>
      <c r="J27">
        <v>5445</v>
      </c>
    </row>
    <row r="28" spans="5:10" x14ac:dyDescent="0.35">
      <c r="I28">
        <v>6672</v>
      </c>
      <c r="J28">
        <v>6961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EDBA-D093-4544-8B61-968B57F57858}">
  <dimension ref="A1:H36"/>
  <sheetViews>
    <sheetView zoomScale="77" workbookViewId="0">
      <selection activeCell="F21" sqref="F21"/>
    </sheetView>
  </sheetViews>
  <sheetFormatPr defaultRowHeight="14.5" x14ac:dyDescent="0.35"/>
  <cols>
    <col min="1" max="1" width="14.81640625" customWidth="1"/>
    <col min="3" max="3" width="18.08984375" customWidth="1"/>
    <col min="5" max="5" width="12.81640625" customWidth="1"/>
    <col min="6" max="6" width="12.54296875" customWidth="1"/>
    <col min="7" max="7" width="28.36328125" customWidth="1"/>
    <col min="8" max="8" width="18.7265625" customWidth="1"/>
  </cols>
  <sheetData>
    <row r="1" spans="1:8" x14ac:dyDescent="0.35">
      <c r="A1" s="1" t="s">
        <v>34</v>
      </c>
      <c r="B1" s="1"/>
    </row>
    <row r="2" spans="1:8" x14ac:dyDescent="0.35">
      <c r="A2" s="1" t="s">
        <v>10</v>
      </c>
    </row>
    <row r="3" spans="1:8" x14ac:dyDescent="0.35">
      <c r="A3" s="1" t="s">
        <v>36</v>
      </c>
      <c r="B3" s="1" t="s">
        <v>37</v>
      </c>
      <c r="C3" s="1" t="s">
        <v>38</v>
      </c>
      <c r="D3" s="1" t="s">
        <v>39</v>
      </c>
      <c r="E3" s="1" t="s">
        <v>35</v>
      </c>
      <c r="F3" s="1" t="s">
        <v>40</v>
      </c>
      <c r="G3" s="1" t="s">
        <v>41</v>
      </c>
      <c r="H3">
        <f>F14/B14</f>
        <v>130</v>
      </c>
    </row>
    <row r="4" spans="1:8" x14ac:dyDescent="0.35">
      <c r="A4">
        <v>5</v>
      </c>
      <c r="B4">
        <v>3</v>
      </c>
      <c r="C4">
        <f>A4*B4</f>
        <v>15</v>
      </c>
      <c r="D4">
        <f>A4-$B$16</f>
        <v>-19</v>
      </c>
      <c r="E4">
        <f>D4^2</f>
        <v>361</v>
      </c>
      <c r="F4">
        <f>B4*E4</f>
        <v>1083</v>
      </c>
      <c r="G4" s="1" t="s">
        <v>42</v>
      </c>
      <c r="H4">
        <f>SQRT(H3)</f>
        <v>11.401754250991379</v>
      </c>
    </row>
    <row r="5" spans="1:8" x14ac:dyDescent="0.35">
      <c r="A5">
        <v>10</v>
      </c>
      <c r="B5">
        <v>5</v>
      </c>
      <c r="C5">
        <f t="shared" ref="C5:C13" si="0">A5*B5</f>
        <v>50</v>
      </c>
      <c r="D5">
        <f t="shared" ref="D5:D13" si="1">A5-$B$16</f>
        <v>-14</v>
      </c>
      <c r="E5">
        <f t="shared" ref="E5:E13" si="2">D5^2</f>
        <v>196</v>
      </c>
      <c r="F5">
        <f t="shared" ref="F5:F13" si="3">B5*E5</f>
        <v>980</v>
      </c>
      <c r="G5" s="1" t="s">
        <v>43</v>
      </c>
      <c r="H5">
        <f>F14/(B14-1)</f>
        <v>132.65306122448979</v>
      </c>
    </row>
    <row r="6" spans="1:8" x14ac:dyDescent="0.35">
      <c r="A6">
        <v>15</v>
      </c>
      <c r="B6">
        <v>7</v>
      </c>
      <c r="C6">
        <f t="shared" si="0"/>
        <v>105</v>
      </c>
      <c r="D6">
        <f t="shared" si="1"/>
        <v>-9</v>
      </c>
      <c r="E6">
        <f t="shared" si="2"/>
        <v>81</v>
      </c>
      <c r="F6">
        <f t="shared" si="3"/>
        <v>567</v>
      </c>
      <c r="G6" s="1" t="s">
        <v>44</v>
      </c>
      <c r="H6">
        <f>SQRT(H5)</f>
        <v>11.517511068997928</v>
      </c>
    </row>
    <row r="7" spans="1:8" x14ac:dyDescent="0.35">
      <c r="A7">
        <v>20</v>
      </c>
      <c r="B7">
        <v>10</v>
      </c>
      <c r="C7">
        <f t="shared" si="0"/>
        <v>200</v>
      </c>
      <c r="D7">
        <f t="shared" si="1"/>
        <v>-4</v>
      </c>
      <c r="E7">
        <f t="shared" si="2"/>
        <v>16</v>
      </c>
      <c r="F7">
        <f t="shared" si="3"/>
        <v>160</v>
      </c>
    </row>
    <row r="8" spans="1:8" x14ac:dyDescent="0.35">
      <c r="A8">
        <v>25</v>
      </c>
      <c r="B8">
        <v>8</v>
      </c>
      <c r="C8">
        <f t="shared" si="0"/>
        <v>200</v>
      </c>
      <c r="D8">
        <f t="shared" si="1"/>
        <v>1</v>
      </c>
      <c r="E8">
        <f t="shared" si="2"/>
        <v>1</v>
      </c>
      <c r="F8">
        <f t="shared" si="3"/>
        <v>8</v>
      </c>
    </row>
    <row r="9" spans="1:8" x14ac:dyDescent="0.35">
      <c r="A9">
        <v>30</v>
      </c>
      <c r="B9">
        <v>6</v>
      </c>
      <c r="C9">
        <f t="shared" si="0"/>
        <v>180</v>
      </c>
      <c r="D9">
        <f t="shared" si="1"/>
        <v>6</v>
      </c>
      <c r="E9">
        <f t="shared" si="2"/>
        <v>36</v>
      </c>
      <c r="F9">
        <f t="shared" si="3"/>
        <v>216</v>
      </c>
    </row>
    <row r="10" spans="1:8" x14ac:dyDescent="0.35">
      <c r="A10">
        <v>35</v>
      </c>
      <c r="B10">
        <v>4</v>
      </c>
      <c r="C10">
        <f t="shared" si="0"/>
        <v>140</v>
      </c>
      <c r="D10">
        <f t="shared" si="1"/>
        <v>11</v>
      </c>
      <c r="E10">
        <f t="shared" si="2"/>
        <v>121</v>
      </c>
      <c r="F10">
        <f t="shared" si="3"/>
        <v>484</v>
      </c>
    </row>
    <row r="11" spans="1:8" x14ac:dyDescent="0.35">
      <c r="A11">
        <v>40</v>
      </c>
      <c r="B11">
        <v>3</v>
      </c>
      <c r="C11">
        <f t="shared" si="0"/>
        <v>120</v>
      </c>
      <c r="D11">
        <f t="shared" si="1"/>
        <v>16</v>
      </c>
      <c r="E11">
        <f t="shared" si="2"/>
        <v>256</v>
      </c>
      <c r="F11">
        <f t="shared" si="3"/>
        <v>768</v>
      </c>
    </row>
    <row r="12" spans="1:8" x14ac:dyDescent="0.35">
      <c r="A12">
        <v>45</v>
      </c>
      <c r="B12">
        <v>2</v>
      </c>
      <c r="C12">
        <f t="shared" si="0"/>
        <v>90</v>
      </c>
      <c r="D12">
        <f t="shared" si="1"/>
        <v>21</v>
      </c>
      <c r="E12">
        <f t="shared" si="2"/>
        <v>441</v>
      </c>
      <c r="F12">
        <f t="shared" si="3"/>
        <v>882</v>
      </c>
    </row>
    <row r="13" spans="1:8" x14ac:dyDescent="0.35">
      <c r="A13">
        <v>50</v>
      </c>
      <c r="B13">
        <v>2</v>
      </c>
      <c r="C13">
        <f t="shared" si="0"/>
        <v>100</v>
      </c>
      <c r="D13">
        <f t="shared" si="1"/>
        <v>26</v>
      </c>
      <c r="E13">
        <f t="shared" si="2"/>
        <v>676</v>
      </c>
      <c r="F13">
        <f t="shared" si="3"/>
        <v>1352</v>
      </c>
    </row>
    <row r="14" spans="1:8" x14ac:dyDescent="0.35">
      <c r="A14" s="1" t="s">
        <v>22</v>
      </c>
      <c r="B14" s="1">
        <f>SUM(B4:B13)</f>
        <v>50</v>
      </c>
      <c r="C14" s="1">
        <f>SUM(C4:C13)</f>
        <v>1200</v>
      </c>
      <c r="F14" s="1">
        <f>SUM(F4:F13)</f>
        <v>6500</v>
      </c>
    </row>
    <row r="16" spans="1:8" x14ac:dyDescent="0.35">
      <c r="A16" s="1" t="s">
        <v>33</v>
      </c>
      <c r="B16" s="1">
        <f>C14/B14</f>
        <v>24</v>
      </c>
    </row>
    <row r="19" spans="1:4" x14ac:dyDescent="0.35">
      <c r="A19" s="1" t="s">
        <v>18</v>
      </c>
      <c r="B19" t="s">
        <v>45</v>
      </c>
    </row>
    <row r="20" spans="1:4" x14ac:dyDescent="0.35">
      <c r="A20" s="1" t="s">
        <v>48</v>
      </c>
      <c r="C20" s="1" t="s">
        <v>46</v>
      </c>
      <c r="D20">
        <f>_xlfn.VAR.P(A21:A36)</f>
        <v>266.25</v>
      </c>
    </row>
    <row r="21" spans="1:4" x14ac:dyDescent="0.35">
      <c r="A21">
        <v>13</v>
      </c>
      <c r="C21" s="1" t="s">
        <v>47</v>
      </c>
      <c r="D21">
        <f>_xlfn.STDEV.P(A21:A36)</f>
        <v>16.317168872080721</v>
      </c>
    </row>
    <row r="22" spans="1:4" x14ac:dyDescent="0.35">
      <c r="A22">
        <v>19</v>
      </c>
    </row>
    <row r="23" spans="1:4" x14ac:dyDescent="0.35">
      <c r="A23">
        <v>20</v>
      </c>
    </row>
    <row r="24" spans="1:4" x14ac:dyDescent="0.35">
      <c r="A24">
        <v>26</v>
      </c>
    </row>
    <row r="25" spans="1:4" x14ac:dyDescent="0.35">
      <c r="A25">
        <v>27</v>
      </c>
    </row>
    <row r="26" spans="1:4" x14ac:dyDescent="0.35">
      <c r="A26">
        <v>33</v>
      </c>
    </row>
    <row r="27" spans="1:4" x14ac:dyDescent="0.35">
      <c r="A27">
        <v>34</v>
      </c>
    </row>
    <row r="28" spans="1:4" x14ac:dyDescent="0.35">
      <c r="A28">
        <v>40</v>
      </c>
    </row>
    <row r="29" spans="1:4" x14ac:dyDescent="0.35">
      <c r="A29">
        <v>41</v>
      </c>
    </row>
    <row r="30" spans="1:4" x14ac:dyDescent="0.35">
      <c r="A30">
        <v>47</v>
      </c>
    </row>
    <row r="31" spans="1:4" x14ac:dyDescent="0.35">
      <c r="A31">
        <v>48</v>
      </c>
    </row>
    <row r="32" spans="1:4" x14ac:dyDescent="0.35">
      <c r="A32">
        <v>54</v>
      </c>
    </row>
    <row r="33" spans="1:1" x14ac:dyDescent="0.35">
      <c r="A33">
        <v>55</v>
      </c>
    </row>
    <row r="34" spans="1:1" x14ac:dyDescent="0.35">
      <c r="A34">
        <v>61</v>
      </c>
    </row>
    <row r="35" spans="1:1" x14ac:dyDescent="0.35">
      <c r="A35">
        <v>62</v>
      </c>
    </row>
    <row r="36" spans="1:1" x14ac:dyDescent="0.35">
      <c r="A3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F5B7-845C-47E9-8F3A-9583C397E361}">
  <dimension ref="A1:D38"/>
  <sheetViews>
    <sheetView workbookViewId="0">
      <selection activeCell="H11" sqref="H11"/>
    </sheetView>
  </sheetViews>
  <sheetFormatPr defaultRowHeight="14.5" x14ac:dyDescent="0.35"/>
  <cols>
    <col min="1" max="1" width="13.08984375" customWidth="1"/>
    <col min="2" max="3" width="13.90625" customWidth="1"/>
    <col min="4" max="4" width="11.453125" customWidth="1"/>
  </cols>
  <sheetData>
    <row r="1" spans="1:4" x14ac:dyDescent="0.35">
      <c r="A1" s="1" t="s">
        <v>75</v>
      </c>
    </row>
    <row r="3" spans="1:4" x14ac:dyDescent="0.35">
      <c r="A3" s="1" t="s">
        <v>51</v>
      </c>
    </row>
    <row r="4" spans="1:4" x14ac:dyDescent="0.35">
      <c r="A4" s="1" t="s">
        <v>71</v>
      </c>
      <c r="D4" s="1" t="s">
        <v>74</v>
      </c>
    </row>
    <row r="5" spans="1:4" x14ac:dyDescent="0.35">
      <c r="A5">
        <v>10</v>
      </c>
      <c r="B5" s="1" t="s">
        <v>73</v>
      </c>
      <c r="C5">
        <f>AVERAGE(A5:A14)</f>
        <v>19.5</v>
      </c>
      <c r="D5">
        <f>STANDARDIZE(A5,$C$5,$C$6)</f>
        <v>-1.4863722029092832</v>
      </c>
    </row>
    <row r="6" spans="1:4" x14ac:dyDescent="0.35">
      <c r="A6">
        <v>12</v>
      </c>
      <c r="B6" s="1" t="s">
        <v>72</v>
      </c>
      <c r="C6">
        <f>_xlfn.STDEV.P(A5:A14)</f>
        <v>6.3914004725099183</v>
      </c>
      <c r="D6">
        <f t="shared" ref="D6:D14" si="0">STANDARDIZE(A6,$C$5,$C$6)</f>
        <v>-1.1734517391389077</v>
      </c>
    </row>
    <row r="7" spans="1:4" x14ac:dyDescent="0.35">
      <c r="A7">
        <v>15</v>
      </c>
      <c r="D7">
        <f t="shared" si="0"/>
        <v>-0.70407104348334459</v>
      </c>
    </row>
    <row r="8" spans="1:4" x14ac:dyDescent="0.35">
      <c r="A8">
        <v>18</v>
      </c>
      <c r="D8">
        <f t="shared" si="0"/>
        <v>-0.23469034782778153</v>
      </c>
    </row>
    <row r="9" spans="1:4" x14ac:dyDescent="0.35">
      <c r="A9">
        <v>20</v>
      </c>
      <c r="D9">
        <f t="shared" si="0"/>
        <v>7.8230115942593853E-2</v>
      </c>
    </row>
    <row r="10" spans="1:4" x14ac:dyDescent="0.35">
      <c r="A10">
        <v>22</v>
      </c>
      <c r="D10">
        <f t="shared" si="0"/>
        <v>0.39115057971296924</v>
      </c>
    </row>
    <row r="11" spans="1:4" x14ac:dyDescent="0.35">
      <c r="A11">
        <v>25</v>
      </c>
      <c r="D11">
        <f t="shared" si="0"/>
        <v>0.86053127536853236</v>
      </c>
    </row>
    <row r="12" spans="1:4" x14ac:dyDescent="0.35">
      <c r="A12">
        <v>28</v>
      </c>
      <c r="D12">
        <f t="shared" si="0"/>
        <v>1.3299119710240954</v>
      </c>
    </row>
    <row r="13" spans="1:4" x14ac:dyDescent="0.35">
      <c r="A13">
        <v>30</v>
      </c>
      <c r="D13">
        <f t="shared" si="0"/>
        <v>1.6428324347944707</v>
      </c>
    </row>
    <row r="14" spans="1:4" x14ac:dyDescent="0.35">
      <c r="A14">
        <v>15</v>
      </c>
      <c r="D14">
        <f t="shared" si="0"/>
        <v>-0.70407104348334459</v>
      </c>
    </row>
    <row r="17" spans="1:4" x14ac:dyDescent="0.35">
      <c r="A17" s="1" t="s">
        <v>10</v>
      </c>
    </row>
    <row r="18" spans="1:4" x14ac:dyDescent="0.35">
      <c r="A18" s="1" t="s">
        <v>76</v>
      </c>
      <c r="B18" s="1" t="s">
        <v>78</v>
      </c>
      <c r="C18" s="1" t="s">
        <v>79</v>
      </c>
      <c r="D18" s="1" t="s">
        <v>80</v>
      </c>
    </row>
    <row r="19" spans="1:4" x14ac:dyDescent="0.35">
      <c r="A19">
        <v>10</v>
      </c>
      <c r="B19">
        <f>_xlfn.RANK.AVG(A19,$A$19:$A$28,1)</f>
        <v>1</v>
      </c>
      <c r="C19">
        <f>(B19-1)/(COUNT($A$19:$A$28)-1)</f>
        <v>0</v>
      </c>
      <c r="D19">
        <f>C19*100</f>
        <v>0</v>
      </c>
    </row>
    <row r="20" spans="1:4" x14ac:dyDescent="0.35">
      <c r="A20">
        <v>12</v>
      </c>
      <c r="B20">
        <f t="shared" ref="B20:B28" si="1">_xlfn.RANK.AVG(A20,$A$19:$A$28,1)</f>
        <v>3</v>
      </c>
      <c r="C20">
        <f t="shared" ref="C20:C28" si="2">(B20-1)/(COUNT($A$19:$A$28)-1)</f>
        <v>0.22222222222222221</v>
      </c>
      <c r="D20">
        <f t="shared" ref="D20:D28" si="3">C20*100</f>
        <v>22.222222222222221</v>
      </c>
    </row>
    <row r="21" spans="1:4" x14ac:dyDescent="0.35">
      <c r="A21">
        <v>13</v>
      </c>
      <c r="B21">
        <f t="shared" si="1"/>
        <v>5.5</v>
      </c>
      <c r="C21">
        <f t="shared" si="2"/>
        <v>0.5</v>
      </c>
      <c r="D21">
        <f t="shared" si="3"/>
        <v>50</v>
      </c>
    </row>
    <row r="22" spans="1:4" x14ac:dyDescent="0.35">
      <c r="A22">
        <v>45</v>
      </c>
      <c r="B22">
        <f t="shared" si="1"/>
        <v>9.5</v>
      </c>
      <c r="C22">
        <f t="shared" si="2"/>
        <v>0.94444444444444442</v>
      </c>
      <c r="D22">
        <f t="shared" si="3"/>
        <v>94.444444444444443</v>
      </c>
    </row>
    <row r="23" spans="1:4" x14ac:dyDescent="0.35">
      <c r="A23">
        <v>24</v>
      </c>
      <c r="B23">
        <f t="shared" si="1"/>
        <v>8</v>
      </c>
      <c r="C23">
        <f t="shared" si="2"/>
        <v>0.77777777777777779</v>
      </c>
      <c r="D23">
        <f t="shared" si="3"/>
        <v>77.777777777777786</v>
      </c>
    </row>
    <row r="24" spans="1:4" x14ac:dyDescent="0.35">
      <c r="A24">
        <v>13</v>
      </c>
      <c r="B24">
        <f t="shared" si="1"/>
        <v>5.5</v>
      </c>
      <c r="C24">
        <f t="shared" si="2"/>
        <v>0.5</v>
      </c>
      <c r="D24">
        <f t="shared" si="3"/>
        <v>50</v>
      </c>
    </row>
    <row r="25" spans="1:4" x14ac:dyDescent="0.35">
      <c r="A25">
        <v>23</v>
      </c>
      <c r="B25">
        <f t="shared" si="1"/>
        <v>7</v>
      </c>
      <c r="C25">
        <f t="shared" si="2"/>
        <v>0.66666666666666663</v>
      </c>
      <c r="D25">
        <f t="shared" si="3"/>
        <v>66.666666666666657</v>
      </c>
    </row>
    <row r="26" spans="1:4" x14ac:dyDescent="0.35">
      <c r="A26">
        <v>45</v>
      </c>
      <c r="B26">
        <f t="shared" si="1"/>
        <v>9.5</v>
      </c>
      <c r="C26">
        <f t="shared" si="2"/>
        <v>0.94444444444444442</v>
      </c>
      <c r="D26">
        <f t="shared" si="3"/>
        <v>94.444444444444443</v>
      </c>
    </row>
    <row r="27" spans="1:4" x14ac:dyDescent="0.35">
      <c r="A27">
        <v>12</v>
      </c>
      <c r="B27">
        <f t="shared" si="1"/>
        <v>3</v>
      </c>
      <c r="C27">
        <f t="shared" si="2"/>
        <v>0.22222222222222221</v>
      </c>
      <c r="D27">
        <f t="shared" si="3"/>
        <v>22.222222222222221</v>
      </c>
    </row>
    <row r="28" spans="1:4" x14ac:dyDescent="0.35">
      <c r="A28">
        <v>12</v>
      </c>
      <c r="B28">
        <f t="shared" si="1"/>
        <v>3</v>
      </c>
      <c r="C28">
        <f t="shared" si="2"/>
        <v>0.22222222222222221</v>
      </c>
      <c r="D28">
        <f t="shared" si="3"/>
        <v>22.222222222222221</v>
      </c>
    </row>
    <row r="30" spans="1:4" x14ac:dyDescent="0.35">
      <c r="A30" s="1" t="s">
        <v>31</v>
      </c>
    </row>
    <row r="31" spans="1:4" x14ac:dyDescent="0.35">
      <c r="A31" s="1" t="s">
        <v>81</v>
      </c>
      <c r="B31" s="1" t="s">
        <v>82</v>
      </c>
      <c r="C31" s="1" t="s">
        <v>77</v>
      </c>
    </row>
    <row r="32" spans="1:4" x14ac:dyDescent="0.35">
      <c r="A32">
        <v>12</v>
      </c>
      <c r="B32">
        <f>PERCENTRANK(A$32:A$38,A32)</f>
        <v>0</v>
      </c>
      <c r="C32">
        <f>B32*100</f>
        <v>0</v>
      </c>
    </row>
    <row r="33" spans="1:3" x14ac:dyDescent="0.35">
      <c r="A33">
        <v>28</v>
      </c>
      <c r="B33">
        <f t="shared" ref="B33:B38" si="4">PERCENTRANK(A$32:A$38,A33)</f>
        <v>0.16600000000000001</v>
      </c>
      <c r="C33">
        <f t="shared" ref="C33:C38" si="5">B33*100</f>
        <v>16.600000000000001</v>
      </c>
    </row>
    <row r="34" spans="1:3" x14ac:dyDescent="0.35">
      <c r="A34">
        <v>35</v>
      </c>
      <c r="B34">
        <f t="shared" si="4"/>
        <v>0.33300000000000002</v>
      </c>
      <c r="C34">
        <f t="shared" si="5"/>
        <v>33.300000000000004</v>
      </c>
    </row>
    <row r="35" spans="1:3" x14ac:dyDescent="0.35">
      <c r="A35">
        <v>42</v>
      </c>
      <c r="B35">
        <f t="shared" si="4"/>
        <v>0.5</v>
      </c>
      <c r="C35">
        <f t="shared" si="5"/>
        <v>50</v>
      </c>
    </row>
    <row r="36" spans="1:3" x14ac:dyDescent="0.35">
      <c r="A36">
        <v>47</v>
      </c>
      <c r="B36">
        <f t="shared" si="4"/>
        <v>0.66600000000000004</v>
      </c>
      <c r="C36">
        <f t="shared" si="5"/>
        <v>66.600000000000009</v>
      </c>
    </row>
    <row r="37" spans="1:3" x14ac:dyDescent="0.35">
      <c r="A37">
        <v>49</v>
      </c>
      <c r="B37">
        <f t="shared" si="4"/>
        <v>0.83299999999999996</v>
      </c>
      <c r="C37">
        <f t="shared" si="5"/>
        <v>83.3</v>
      </c>
    </row>
    <row r="38" spans="1:3" x14ac:dyDescent="0.35">
      <c r="A38">
        <v>50</v>
      </c>
      <c r="B38">
        <f t="shared" si="4"/>
        <v>1</v>
      </c>
      <c r="C38">
        <f t="shared" si="5"/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F3E6-782D-4038-89BA-179100F201DD}">
  <dimension ref="A1:G96"/>
  <sheetViews>
    <sheetView topLeftCell="A13" zoomScale="40" workbookViewId="0">
      <selection activeCell="AA32" sqref="AA32"/>
    </sheetView>
  </sheetViews>
  <sheetFormatPr defaultRowHeight="14.5" x14ac:dyDescent="0.35"/>
  <cols>
    <col min="1" max="1" width="13.1796875" customWidth="1"/>
    <col min="4" max="4" width="13.6328125" customWidth="1"/>
    <col min="5" max="5" width="10.6328125" customWidth="1"/>
    <col min="6" max="6" width="10.1796875" customWidth="1"/>
  </cols>
  <sheetData>
    <row r="1" spans="1:7" x14ac:dyDescent="0.35">
      <c r="A1" s="1" t="s">
        <v>70</v>
      </c>
    </row>
    <row r="3" spans="1:7" x14ac:dyDescent="0.35">
      <c r="A3" s="1" t="s">
        <v>49</v>
      </c>
      <c r="G3" s="1"/>
    </row>
    <row r="4" spans="1:7" x14ac:dyDescent="0.35">
      <c r="A4" s="1" t="s">
        <v>36</v>
      </c>
      <c r="B4" s="1" t="s">
        <v>50</v>
      </c>
    </row>
    <row r="5" spans="1:7" x14ac:dyDescent="0.35">
      <c r="A5">
        <v>1</v>
      </c>
      <c r="B5">
        <v>2</v>
      </c>
    </row>
    <row r="6" spans="1:7" x14ac:dyDescent="0.35">
      <c r="A6">
        <v>2</v>
      </c>
      <c r="B6">
        <v>4</v>
      </c>
    </row>
    <row r="7" spans="1:7" x14ac:dyDescent="0.35">
      <c r="A7">
        <v>3</v>
      </c>
      <c r="B7">
        <v>5</v>
      </c>
    </row>
    <row r="8" spans="1:7" x14ac:dyDescent="0.35">
      <c r="A8">
        <v>4</v>
      </c>
      <c r="B8">
        <v>7</v>
      </c>
    </row>
    <row r="9" spans="1:7" x14ac:dyDescent="0.35">
      <c r="A9">
        <v>5</v>
      </c>
      <c r="B9">
        <v>9</v>
      </c>
    </row>
    <row r="18" spans="1:1" x14ac:dyDescent="0.35">
      <c r="A18" s="1" t="s">
        <v>51</v>
      </c>
    </row>
    <row r="19" spans="1:1" x14ac:dyDescent="0.35">
      <c r="A19" s="1" t="s">
        <v>52</v>
      </c>
    </row>
    <row r="20" spans="1:1" x14ac:dyDescent="0.35">
      <c r="A20">
        <v>10</v>
      </c>
    </row>
    <row r="21" spans="1:1" x14ac:dyDescent="0.35">
      <c r="A21">
        <v>12</v>
      </c>
    </row>
    <row r="22" spans="1:1" x14ac:dyDescent="0.35">
      <c r="A22">
        <v>15</v>
      </c>
    </row>
    <row r="23" spans="1:1" x14ac:dyDescent="0.35">
      <c r="A23">
        <v>18</v>
      </c>
    </row>
    <row r="24" spans="1:1" x14ac:dyDescent="0.35">
      <c r="A24">
        <v>20</v>
      </c>
    </row>
    <row r="25" spans="1:1" x14ac:dyDescent="0.35">
      <c r="A25">
        <v>22</v>
      </c>
    </row>
    <row r="26" spans="1:1" x14ac:dyDescent="0.35">
      <c r="A26">
        <v>25</v>
      </c>
    </row>
    <row r="27" spans="1:1" x14ac:dyDescent="0.35">
      <c r="A27">
        <v>28</v>
      </c>
    </row>
    <row r="28" spans="1:1" x14ac:dyDescent="0.35">
      <c r="A28">
        <v>30</v>
      </c>
    </row>
    <row r="34" spans="1:2" x14ac:dyDescent="0.35">
      <c r="A34" s="1" t="s">
        <v>10</v>
      </c>
    </row>
    <row r="35" spans="1:2" x14ac:dyDescent="0.35">
      <c r="A35" s="1" t="s">
        <v>53</v>
      </c>
      <c r="B35" s="1" t="s">
        <v>57</v>
      </c>
    </row>
    <row r="36" spans="1:2" x14ac:dyDescent="0.35">
      <c r="A36" t="s">
        <v>19</v>
      </c>
      <c r="B36">
        <v>10</v>
      </c>
    </row>
    <row r="37" spans="1:2" x14ac:dyDescent="0.35">
      <c r="A37" t="s">
        <v>54</v>
      </c>
      <c r="B37">
        <v>15</v>
      </c>
    </row>
    <row r="38" spans="1:2" x14ac:dyDescent="0.35">
      <c r="A38" t="s">
        <v>55</v>
      </c>
      <c r="B38">
        <v>7</v>
      </c>
    </row>
    <row r="39" spans="1:2" x14ac:dyDescent="0.35">
      <c r="A39" t="s">
        <v>56</v>
      </c>
      <c r="B39">
        <v>20</v>
      </c>
    </row>
    <row r="51" spans="1:2" x14ac:dyDescent="0.35">
      <c r="A51" s="1" t="s">
        <v>32</v>
      </c>
    </row>
    <row r="53" spans="1:2" x14ac:dyDescent="0.35">
      <c r="A53" s="1" t="s">
        <v>58</v>
      </c>
      <c r="B53" s="1" t="s">
        <v>59</v>
      </c>
    </row>
    <row r="54" spans="1:2" x14ac:dyDescent="0.35">
      <c r="A54">
        <v>1</v>
      </c>
      <c r="B54">
        <v>5</v>
      </c>
    </row>
    <row r="55" spans="1:2" x14ac:dyDescent="0.35">
      <c r="A55">
        <v>2</v>
      </c>
      <c r="B55">
        <v>9</v>
      </c>
    </row>
    <row r="56" spans="1:2" x14ac:dyDescent="0.35">
      <c r="A56">
        <v>3</v>
      </c>
      <c r="B56">
        <v>14</v>
      </c>
    </row>
    <row r="57" spans="1:2" x14ac:dyDescent="0.35">
      <c r="A57">
        <v>4</v>
      </c>
      <c r="B57">
        <v>20</v>
      </c>
    </row>
    <row r="58" spans="1:2" x14ac:dyDescent="0.35">
      <c r="A58">
        <v>5</v>
      </c>
      <c r="B58">
        <v>25</v>
      </c>
    </row>
    <row r="65" spans="1:6" x14ac:dyDescent="0.35">
      <c r="A65" s="1" t="s">
        <v>31</v>
      </c>
    </row>
    <row r="66" spans="1:6" x14ac:dyDescent="0.35">
      <c r="A66" s="1" t="s">
        <v>60</v>
      </c>
      <c r="B66" s="1" t="s">
        <v>61</v>
      </c>
      <c r="D66" s="1" t="s">
        <v>62</v>
      </c>
      <c r="E66" s="1" t="s">
        <v>68</v>
      </c>
      <c r="F66" s="1" t="s">
        <v>69</v>
      </c>
    </row>
    <row r="67" spans="1:6" x14ac:dyDescent="0.35">
      <c r="A67">
        <v>43</v>
      </c>
      <c r="B67">
        <v>10</v>
      </c>
      <c r="D67" t="s">
        <v>63</v>
      </c>
      <c r="E67">
        <f>COUNTIFS(A:A,"&gt;=0",A:A,"&lt;=5")</f>
        <v>18</v>
      </c>
      <c r="F67">
        <f>COUNTIFS(B:B,"&gt;=0",B:B,"&lt;=5")</f>
        <v>10</v>
      </c>
    </row>
    <row r="68" spans="1:6" x14ac:dyDescent="0.35">
      <c r="A68">
        <v>20</v>
      </c>
      <c r="B68">
        <v>17</v>
      </c>
      <c r="D68" s="2">
        <v>46301</v>
      </c>
      <c r="E68">
        <f>COUNTIFS(A:A,"&gt;=6",A:A,"&lt;=10")</f>
        <v>4</v>
      </c>
      <c r="F68">
        <f>COUNTIFS(B:B,"&gt;=6",B:B,"&lt;=10")</f>
        <v>9</v>
      </c>
    </row>
    <row r="69" spans="1:6" x14ac:dyDescent="0.35">
      <c r="A69">
        <v>38</v>
      </c>
      <c r="B69">
        <v>31</v>
      </c>
      <c r="D69" s="3">
        <v>42309</v>
      </c>
      <c r="E69">
        <f>COUNTIFS(A:A,"&gt;=11",A:A,"&lt;=15")</f>
        <v>6</v>
      </c>
      <c r="F69">
        <f>COUNTIFS(B:B,"&gt;=11",B:B,"&lt;=15")</f>
        <v>8</v>
      </c>
    </row>
    <row r="70" spans="1:6" x14ac:dyDescent="0.35">
      <c r="A70">
        <v>14</v>
      </c>
      <c r="B70">
        <v>14</v>
      </c>
      <c r="D70" t="s">
        <v>64</v>
      </c>
      <c r="E70">
        <f>COUNTIFS(A:A,"&gt;=16",A:A,"&lt;=20")</f>
        <v>5</v>
      </c>
      <c r="F70">
        <f>COUNTIFS(B:B,"&gt;=16",B:B,"&lt;=20")</f>
        <v>11</v>
      </c>
    </row>
    <row r="71" spans="1:6" x14ac:dyDescent="0.35">
      <c r="A71">
        <v>23</v>
      </c>
      <c r="B71">
        <v>13</v>
      </c>
      <c r="D71" t="s">
        <v>65</v>
      </c>
      <c r="E71">
        <f>COUNTIFS(A:A,"&gt;=21",A:A,"&lt;=25")</f>
        <v>4</v>
      </c>
      <c r="F71">
        <f>COUNTIFS(B:B,"&gt;=21",B:B,"&lt;=25")</f>
        <v>2</v>
      </c>
    </row>
    <row r="72" spans="1:6" x14ac:dyDescent="0.35">
      <c r="A72">
        <v>76</v>
      </c>
      <c r="B72">
        <v>11</v>
      </c>
      <c r="D72" t="s">
        <v>66</v>
      </c>
      <c r="E72">
        <f>COUNTIFS(A:A,"&gt;=26",A:A,"&lt;=30")</f>
        <v>2</v>
      </c>
      <c r="F72">
        <f>COUNTIFS(B:B,"&gt;=26",B:B,"&lt;=30")</f>
        <v>0</v>
      </c>
    </row>
    <row r="73" spans="1:6" x14ac:dyDescent="0.35">
      <c r="A73">
        <v>0</v>
      </c>
      <c r="B73">
        <v>0</v>
      </c>
      <c r="D73" t="s">
        <v>67</v>
      </c>
      <c r="E73">
        <f>COUNTIFS(A:A,"&gt;=31",A:A,"&lt;=35")</f>
        <v>1</v>
      </c>
      <c r="F73">
        <f>COUNTIFS(B:B,"&gt;=31",B:B,"&lt;=35")</f>
        <v>1</v>
      </c>
    </row>
    <row r="74" spans="1:6" x14ac:dyDescent="0.35">
      <c r="A74">
        <v>0</v>
      </c>
      <c r="B74">
        <v>5</v>
      </c>
    </row>
    <row r="75" spans="1:6" x14ac:dyDescent="0.35">
      <c r="A75">
        <v>5</v>
      </c>
      <c r="B75">
        <v>19</v>
      </c>
    </row>
    <row r="76" spans="1:6" x14ac:dyDescent="0.35">
      <c r="A76">
        <v>12</v>
      </c>
      <c r="B76">
        <v>10</v>
      </c>
    </row>
    <row r="77" spans="1:6" x14ac:dyDescent="0.35">
      <c r="A77">
        <v>51</v>
      </c>
      <c r="B77">
        <v>14</v>
      </c>
    </row>
    <row r="78" spans="1:6" x14ac:dyDescent="0.35">
      <c r="A78">
        <v>5</v>
      </c>
      <c r="B78">
        <v>5</v>
      </c>
    </row>
    <row r="79" spans="1:6" x14ac:dyDescent="0.35">
      <c r="A79">
        <v>56</v>
      </c>
      <c r="B79">
        <v>88</v>
      </c>
    </row>
    <row r="80" spans="1:6" x14ac:dyDescent="0.35">
      <c r="A80">
        <v>37</v>
      </c>
      <c r="B80">
        <v>20</v>
      </c>
    </row>
    <row r="81" spans="1:2" x14ac:dyDescent="0.35">
      <c r="A81">
        <v>33</v>
      </c>
      <c r="B81">
        <v>20</v>
      </c>
    </row>
    <row r="82" spans="1:2" x14ac:dyDescent="0.35">
      <c r="A82">
        <v>14</v>
      </c>
      <c r="B82">
        <v>20</v>
      </c>
    </row>
    <row r="83" spans="1:2" x14ac:dyDescent="0.35">
      <c r="A83">
        <v>17</v>
      </c>
      <c r="B83">
        <v>19</v>
      </c>
    </row>
    <row r="84" spans="1:2" x14ac:dyDescent="0.35">
      <c r="A84">
        <v>8</v>
      </c>
      <c r="B84">
        <v>1</v>
      </c>
    </row>
    <row r="85" spans="1:2" x14ac:dyDescent="0.35">
      <c r="A85">
        <v>14</v>
      </c>
      <c r="B85">
        <v>9</v>
      </c>
    </row>
    <row r="86" spans="1:2" x14ac:dyDescent="0.35">
      <c r="A86">
        <v>0</v>
      </c>
      <c r="B86">
        <v>20</v>
      </c>
    </row>
    <row r="87" spans="1:2" x14ac:dyDescent="0.35">
      <c r="A87">
        <v>0</v>
      </c>
      <c r="B87">
        <v>15</v>
      </c>
    </row>
    <row r="88" spans="1:2" x14ac:dyDescent="0.35">
      <c r="A88">
        <v>67</v>
      </c>
      <c r="B88">
        <v>127</v>
      </c>
    </row>
    <row r="89" spans="1:2" x14ac:dyDescent="0.35">
      <c r="A89">
        <v>0</v>
      </c>
      <c r="B89">
        <v>1</v>
      </c>
    </row>
    <row r="90" spans="1:2" x14ac:dyDescent="0.35">
      <c r="A90">
        <v>95</v>
      </c>
      <c r="B90">
        <v>138</v>
      </c>
    </row>
    <row r="91" spans="1:2" x14ac:dyDescent="0.35">
      <c r="A91">
        <v>3</v>
      </c>
      <c r="B91">
        <v>20</v>
      </c>
    </row>
    <row r="92" spans="1:2" x14ac:dyDescent="0.35">
      <c r="A92">
        <v>10</v>
      </c>
      <c r="B92">
        <v>6</v>
      </c>
    </row>
    <row r="93" spans="1:2" x14ac:dyDescent="0.35">
      <c r="A93">
        <v>25</v>
      </c>
      <c r="B93">
        <v>4</v>
      </c>
    </row>
    <row r="94" spans="1:2" x14ac:dyDescent="0.35">
      <c r="A94">
        <v>9</v>
      </c>
      <c r="B94">
        <v>16</v>
      </c>
    </row>
    <row r="95" spans="1:2" x14ac:dyDescent="0.35">
      <c r="A95">
        <v>20</v>
      </c>
      <c r="B95">
        <v>22</v>
      </c>
    </row>
    <row r="96" spans="1:2" x14ac:dyDescent="0.35">
      <c r="A96">
        <v>45</v>
      </c>
      <c r="B96">
        <v>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3E74-5FF1-43FB-8F19-5C889EF5F60C}">
  <dimension ref="A1:G25"/>
  <sheetViews>
    <sheetView zoomScale="66" workbookViewId="0">
      <selection activeCell="I20" sqref="I20"/>
    </sheetView>
  </sheetViews>
  <sheetFormatPr defaultRowHeight="14.5" x14ac:dyDescent="0.35"/>
  <cols>
    <col min="1" max="1" width="13.26953125" customWidth="1"/>
    <col min="4" max="4" width="20" customWidth="1"/>
    <col min="5" max="5" width="18.36328125" customWidth="1"/>
    <col min="6" max="6" width="12.54296875" customWidth="1"/>
    <col min="7" max="7" width="11.90625" customWidth="1"/>
  </cols>
  <sheetData>
    <row r="1" spans="1:7" x14ac:dyDescent="0.35">
      <c r="A1" s="1" t="s">
        <v>83</v>
      </c>
    </row>
    <row r="3" spans="1:7" x14ac:dyDescent="0.35">
      <c r="A3" s="1" t="s">
        <v>10</v>
      </c>
    </row>
    <row r="4" spans="1:7" x14ac:dyDescent="0.35">
      <c r="A4" s="1" t="s">
        <v>8</v>
      </c>
      <c r="B4" s="1" t="s">
        <v>84</v>
      </c>
      <c r="D4" s="1" t="s">
        <v>85</v>
      </c>
      <c r="E4" s="1" t="s">
        <v>86</v>
      </c>
    </row>
    <row r="5" spans="1:7" x14ac:dyDescent="0.35">
      <c r="A5">
        <v>10</v>
      </c>
      <c r="B5">
        <v>20</v>
      </c>
      <c r="D5">
        <f>_xlfn.COVARIANCE.P(A5:A10,B5:B10)</f>
        <v>14.333333333333334</v>
      </c>
      <c r="E5">
        <f>CORREL(A5:A10,B5:B10)</f>
        <v>0.99838143945702995</v>
      </c>
    </row>
    <row r="6" spans="1:7" x14ac:dyDescent="0.35">
      <c r="A6">
        <v>12</v>
      </c>
      <c r="B6">
        <v>22</v>
      </c>
    </row>
    <row r="7" spans="1:7" x14ac:dyDescent="0.35">
      <c r="A7">
        <v>14</v>
      </c>
      <c r="B7">
        <v>25</v>
      </c>
    </row>
    <row r="8" spans="1:7" x14ac:dyDescent="0.35">
      <c r="A8">
        <v>16</v>
      </c>
      <c r="B8">
        <v>27</v>
      </c>
    </row>
    <row r="9" spans="1:7" x14ac:dyDescent="0.35">
      <c r="A9">
        <v>18</v>
      </c>
      <c r="B9">
        <v>30</v>
      </c>
    </row>
    <row r="10" spans="1:7" x14ac:dyDescent="0.35">
      <c r="A10">
        <v>20</v>
      </c>
      <c r="B10">
        <v>32</v>
      </c>
    </row>
    <row r="13" spans="1:7" x14ac:dyDescent="0.35">
      <c r="A13" s="1" t="s">
        <v>32</v>
      </c>
    </row>
    <row r="14" spans="1:7" x14ac:dyDescent="0.35">
      <c r="A14" s="1" t="s">
        <v>36</v>
      </c>
      <c r="B14" s="1" t="s">
        <v>50</v>
      </c>
      <c r="C14" s="1" t="s">
        <v>89</v>
      </c>
      <c r="D14" s="1" t="s">
        <v>90</v>
      </c>
      <c r="E14" s="1" t="s">
        <v>96</v>
      </c>
      <c r="F14" s="1" t="s">
        <v>91</v>
      </c>
      <c r="G14" s="1" t="s">
        <v>92</v>
      </c>
    </row>
    <row r="15" spans="1:7" x14ac:dyDescent="0.35">
      <c r="A15">
        <v>10</v>
      </c>
      <c r="B15">
        <v>20</v>
      </c>
      <c r="C15">
        <f>A15-$B$21</f>
        <v>-5</v>
      </c>
      <c r="D15">
        <f>B15-$B$22</f>
        <v>-6</v>
      </c>
      <c r="E15">
        <f>C15*D15</f>
        <v>30</v>
      </c>
      <c r="F15">
        <f>C15^2</f>
        <v>25</v>
      </c>
      <c r="G15">
        <f>D15^2</f>
        <v>36</v>
      </c>
    </row>
    <row r="16" spans="1:7" x14ac:dyDescent="0.35">
      <c r="A16">
        <v>12</v>
      </c>
      <c r="B16">
        <v>22</v>
      </c>
      <c r="C16">
        <f t="shared" ref="C16:C20" si="0">A16-$B$21</f>
        <v>-3</v>
      </c>
      <c r="D16">
        <f t="shared" ref="D16:D20" si="1">B16-$B$22</f>
        <v>-4</v>
      </c>
      <c r="E16">
        <f t="shared" ref="E16:E20" si="2">C16*D16</f>
        <v>12</v>
      </c>
      <c r="F16">
        <f t="shared" ref="F16:F20" si="3">C16^2</f>
        <v>9</v>
      </c>
      <c r="G16">
        <f t="shared" ref="G16:G20" si="4">D16^2</f>
        <v>16</v>
      </c>
    </row>
    <row r="17" spans="1:7" x14ac:dyDescent="0.35">
      <c r="A17">
        <v>14</v>
      </c>
      <c r="B17">
        <v>25</v>
      </c>
      <c r="C17">
        <f t="shared" si="0"/>
        <v>-1</v>
      </c>
      <c r="D17">
        <f t="shared" si="1"/>
        <v>-1</v>
      </c>
      <c r="E17">
        <f t="shared" si="2"/>
        <v>1</v>
      </c>
      <c r="F17">
        <f t="shared" si="3"/>
        <v>1</v>
      </c>
      <c r="G17">
        <f t="shared" si="4"/>
        <v>1</v>
      </c>
    </row>
    <row r="18" spans="1:7" x14ac:dyDescent="0.35">
      <c r="A18">
        <v>16</v>
      </c>
      <c r="B18">
        <v>27</v>
      </c>
      <c r="C18">
        <f t="shared" si="0"/>
        <v>1</v>
      </c>
      <c r="D18">
        <f t="shared" si="1"/>
        <v>1</v>
      </c>
      <c r="E18">
        <f t="shared" si="2"/>
        <v>1</v>
      </c>
      <c r="F18">
        <f t="shared" si="3"/>
        <v>1</v>
      </c>
      <c r="G18">
        <f t="shared" si="4"/>
        <v>1</v>
      </c>
    </row>
    <row r="19" spans="1:7" x14ac:dyDescent="0.35">
      <c r="A19">
        <v>18</v>
      </c>
      <c r="B19">
        <v>30</v>
      </c>
      <c r="C19">
        <f t="shared" si="0"/>
        <v>3</v>
      </c>
      <c r="D19">
        <f t="shared" si="1"/>
        <v>4</v>
      </c>
      <c r="E19">
        <f t="shared" si="2"/>
        <v>12</v>
      </c>
      <c r="F19">
        <f t="shared" si="3"/>
        <v>9</v>
      </c>
      <c r="G19">
        <f t="shared" si="4"/>
        <v>16</v>
      </c>
    </row>
    <row r="20" spans="1:7" x14ac:dyDescent="0.35">
      <c r="A20">
        <v>20</v>
      </c>
      <c r="B20">
        <v>32</v>
      </c>
      <c r="C20">
        <f t="shared" si="0"/>
        <v>5</v>
      </c>
      <c r="D20">
        <f t="shared" si="1"/>
        <v>6</v>
      </c>
      <c r="E20">
        <f t="shared" si="2"/>
        <v>30</v>
      </c>
      <c r="F20">
        <f t="shared" si="3"/>
        <v>25</v>
      </c>
      <c r="G20">
        <f t="shared" si="4"/>
        <v>36</v>
      </c>
    </row>
    <row r="21" spans="1:7" x14ac:dyDescent="0.35">
      <c r="A21" s="1" t="s">
        <v>87</v>
      </c>
      <c r="B21">
        <f>AVERAGE(A15:A20)</f>
        <v>15</v>
      </c>
      <c r="D21" t="s">
        <v>93</v>
      </c>
      <c r="E21">
        <f>SUM(E15:E20)</f>
        <v>86</v>
      </c>
      <c r="F21">
        <f>SUM(F15:F19)</f>
        <v>45</v>
      </c>
      <c r="G21">
        <f>SUM(G15:G20)</f>
        <v>106</v>
      </c>
    </row>
    <row r="22" spans="1:7" x14ac:dyDescent="0.35">
      <c r="A22" s="1" t="s">
        <v>88</v>
      </c>
      <c r="B22">
        <f>AVERAGE(B15:B20)</f>
        <v>26</v>
      </c>
    </row>
    <row r="23" spans="1:7" x14ac:dyDescent="0.35">
      <c r="D23" s="4" t="s">
        <v>94</v>
      </c>
      <c r="E23">
        <f>E21/COUNT(A15:A20)</f>
        <v>14.333333333333334</v>
      </c>
    </row>
    <row r="24" spans="1:7" x14ac:dyDescent="0.35">
      <c r="D24" s="1" t="s">
        <v>95</v>
      </c>
      <c r="E24">
        <f>CORREL(B15:B20,A15:A20)</f>
        <v>0.99838143945702995</v>
      </c>
    </row>
    <row r="25" spans="1:7" x14ac:dyDescent="0.35">
      <c r="E25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357F-1207-475F-B824-08611F344A08}">
  <dimension ref="A1:M68"/>
  <sheetViews>
    <sheetView tabSelected="1" topLeftCell="A4" zoomScale="70" zoomScaleNormal="70" workbookViewId="0">
      <selection activeCell="I14" sqref="I14"/>
    </sheetView>
  </sheetViews>
  <sheetFormatPr defaultRowHeight="14.5" x14ac:dyDescent="0.35"/>
  <cols>
    <col min="1" max="1" width="15.54296875" customWidth="1"/>
    <col min="2" max="2" width="15.6328125" customWidth="1"/>
    <col min="3" max="3" width="15" customWidth="1"/>
    <col min="4" max="4" width="14.81640625" customWidth="1"/>
    <col min="5" max="5" width="17.81640625" bestFit="1" customWidth="1"/>
  </cols>
  <sheetData>
    <row r="1" spans="1:10" x14ac:dyDescent="0.35">
      <c r="A1" s="1" t="s">
        <v>97</v>
      </c>
    </row>
    <row r="3" spans="1:10" x14ac:dyDescent="0.35">
      <c r="A3" s="1" t="s">
        <v>98</v>
      </c>
    </row>
    <row r="4" spans="1:10" x14ac:dyDescent="0.35">
      <c r="A4" s="1" t="s">
        <v>71</v>
      </c>
      <c r="B4" s="1" t="s">
        <v>101</v>
      </c>
    </row>
    <row r="5" spans="1:10" x14ac:dyDescent="0.35">
      <c r="A5">
        <v>20</v>
      </c>
      <c r="B5">
        <f>STANDARDIZE(A5,$B$11,$B$12)</f>
        <v>-0.49184590698816782</v>
      </c>
    </row>
    <row r="6" spans="1:10" x14ac:dyDescent="0.35">
      <c r="A6">
        <v>22</v>
      </c>
      <c r="B6">
        <f t="shared" ref="B6:B10" si="0">STANDARDIZE(A6,$B$11,$B$12)</f>
        <v>-0.40104358569804449</v>
      </c>
    </row>
    <row r="7" spans="1:10" x14ac:dyDescent="0.35">
      <c r="A7">
        <v>19</v>
      </c>
      <c r="B7">
        <f t="shared" si="0"/>
        <v>-0.53724706763322949</v>
      </c>
    </row>
    <row r="8" spans="1:10" x14ac:dyDescent="0.35">
      <c r="A8">
        <v>23</v>
      </c>
      <c r="B8">
        <f t="shared" si="0"/>
        <v>-0.35564242505298288</v>
      </c>
    </row>
    <row r="9" spans="1:10" x14ac:dyDescent="0.35">
      <c r="A9">
        <v>21</v>
      </c>
      <c r="B9">
        <f t="shared" si="0"/>
        <v>-0.44644474634310616</v>
      </c>
    </row>
    <row r="10" spans="1:10" x14ac:dyDescent="0.35">
      <c r="A10">
        <v>80</v>
      </c>
      <c r="B10">
        <f t="shared" si="0"/>
        <v>2.2322237317155311</v>
      </c>
    </row>
    <row r="11" spans="1:10" x14ac:dyDescent="0.35">
      <c r="A11" s="1" t="s">
        <v>99</v>
      </c>
      <c r="B11">
        <f>AVERAGE(A5:A10)</f>
        <v>30.833333333333332</v>
      </c>
    </row>
    <row r="12" spans="1:10" x14ac:dyDescent="0.35">
      <c r="A12" s="1" t="s">
        <v>100</v>
      </c>
      <c r="B12">
        <f>_xlfn.STDEV.P(A5:A10)</f>
        <v>22.025868629611157</v>
      </c>
    </row>
    <row r="14" spans="1:10" x14ac:dyDescent="0.35">
      <c r="A14" s="1" t="s">
        <v>51</v>
      </c>
      <c r="E14" s="1" t="s">
        <v>32</v>
      </c>
      <c r="H14" s="8"/>
    </row>
    <row r="15" spans="1:10" x14ac:dyDescent="0.35">
      <c r="A15" s="1" t="s">
        <v>102</v>
      </c>
      <c r="B15" s="1" t="s">
        <v>103</v>
      </c>
      <c r="C15" s="1" t="s">
        <v>104</v>
      </c>
      <c r="D15" s="1" t="s">
        <v>105</v>
      </c>
      <c r="E15" t="s">
        <v>106</v>
      </c>
      <c r="J15" s="8"/>
    </row>
    <row r="16" spans="1:10" ht="15" thickBot="1" x14ac:dyDescent="0.4">
      <c r="A16">
        <v>1</v>
      </c>
      <c r="B16">
        <v>35</v>
      </c>
      <c r="C16" t="e">
        <v>#N/A</v>
      </c>
      <c r="D16" t="e">
        <v>#N/A</v>
      </c>
    </row>
    <row r="17" spans="1:13" x14ac:dyDescent="0.35">
      <c r="A17">
        <v>2</v>
      </c>
      <c r="B17">
        <v>45</v>
      </c>
      <c r="C17" t="e">
        <v>#N/A</v>
      </c>
      <c r="D17" t="e">
        <v>#N/A</v>
      </c>
      <c r="E17" s="7" t="s">
        <v>107</v>
      </c>
      <c r="F17" s="7"/>
      <c r="J17" s="8"/>
    </row>
    <row r="18" spans="1:13" x14ac:dyDescent="0.35">
      <c r="A18">
        <v>3</v>
      </c>
      <c r="B18">
        <v>55</v>
      </c>
      <c r="C18">
        <f t="shared" ref="C18:C45" si="1">AVERAGE(A16:A18)</f>
        <v>2</v>
      </c>
      <c r="D18">
        <f t="shared" ref="D18:D45" si="2">AVERAGE(B16:B18)</f>
        <v>45</v>
      </c>
      <c r="E18" t="s">
        <v>108</v>
      </c>
      <c r="F18">
        <v>8.5891784939730639E-2</v>
      </c>
    </row>
    <row r="19" spans="1:13" x14ac:dyDescent="0.35">
      <c r="A19">
        <v>4</v>
      </c>
      <c r="B19">
        <v>65</v>
      </c>
      <c r="C19">
        <f t="shared" si="1"/>
        <v>3</v>
      </c>
      <c r="D19">
        <f t="shared" si="2"/>
        <v>55</v>
      </c>
      <c r="E19" t="s">
        <v>109</v>
      </c>
      <c r="F19">
        <v>7.3773987201329388E-3</v>
      </c>
    </row>
    <row r="20" spans="1:13" x14ac:dyDescent="0.35">
      <c r="A20">
        <v>5</v>
      </c>
      <c r="B20">
        <v>75</v>
      </c>
      <c r="C20">
        <f t="shared" si="1"/>
        <v>4</v>
      </c>
      <c r="D20">
        <f t="shared" si="2"/>
        <v>65</v>
      </c>
      <c r="E20" t="s">
        <v>110</v>
      </c>
      <c r="F20">
        <v>-2.8073408468433741E-2</v>
      </c>
    </row>
    <row r="21" spans="1:13" x14ac:dyDescent="0.35">
      <c r="A21">
        <v>6</v>
      </c>
      <c r="B21">
        <v>24</v>
      </c>
      <c r="C21">
        <f t="shared" si="1"/>
        <v>5</v>
      </c>
      <c r="D21">
        <f t="shared" si="2"/>
        <v>54.666666666666664</v>
      </c>
      <c r="E21" t="s">
        <v>111</v>
      </c>
      <c r="F21">
        <v>22.587915475442095</v>
      </c>
    </row>
    <row r="22" spans="1:13" ht="15" thickBot="1" x14ac:dyDescent="0.4">
      <c r="A22">
        <v>7</v>
      </c>
      <c r="B22">
        <v>35</v>
      </c>
      <c r="C22">
        <f t="shared" si="1"/>
        <v>6</v>
      </c>
      <c r="D22">
        <f t="shared" si="2"/>
        <v>44.666666666666664</v>
      </c>
      <c r="E22" s="5" t="s">
        <v>112</v>
      </c>
      <c r="F22" s="5">
        <v>30</v>
      </c>
    </row>
    <row r="23" spans="1:13" x14ac:dyDescent="0.35">
      <c r="A23">
        <v>8</v>
      </c>
      <c r="B23">
        <v>67</v>
      </c>
      <c r="C23">
        <f t="shared" si="1"/>
        <v>7</v>
      </c>
      <c r="D23">
        <f t="shared" si="2"/>
        <v>42</v>
      </c>
    </row>
    <row r="24" spans="1:13" ht="15" thickBot="1" x14ac:dyDescent="0.4">
      <c r="A24">
        <v>9</v>
      </c>
      <c r="B24">
        <v>45</v>
      </c>
      <c r="C24">
        <f t="shared" si="1"/>
        <v>8</v>
      </c>
      <c r="D24">
        <f t="shared" si="2"/>
        <v>49</v>
      </c>
      <c r="E24" t="s">
        <v>113</v>
      </c>
    </row>
    <row r="25" spans="1:13" x14ac:dyDescent="0.35">
      <c r="A25">
        <v>10</v>
      </c>
      <c r="B25">
        <v>32</v>
      </c>
      <c r="C25">
        <f t="shared" si="1"/>
        <v>9</v>
      </c>
      <c r="D25">
        <f t="shared" si="2"/>
        <v>48</v>
      </c>
      <c r="E25" s="6"/>
      <c r="F25" s="6" t="s">
        <v>118</v>
      </c>
      <c r="G25" s="6" t="s">
        <v>119</v>
      </c>
      <c r="H25" s="6" t="s">
        <v>120</v>
      </c>
      <c r="I25" s="6" t="s">
        <v>121</v>
      </c>
      <c r="J25" s="6" t="s">
        <v>122</v>
      </c>
    </row>
    <row r="26" spans="1:13" x14ac:dyDescent="0.35">
      <c r="A26">
        <v>11</v>
      </c>
      <c r="B26">
        <v>45</v>
      </c>
      <c r="C26">
        <f t="shared" si="1"/>
        <v>10</v>
      </c>
      <c r="D26">
        <f t="shared" si="2"/>
        <v>40.666666666666664</v>
      </c>
      <c r="E26" t="s">
        <v>114</v>
      </c>
      <c r="F26">
        <v>1</v>
      </c>
      <c r="G26">
        <v>106.1767519466066</v>
      </c>
      <c r="H26">
        <v>106.1767519466066</v>
      </c>
      <c r="I26">
        <v>0.20810241868095572</v>
      </c>
      <c r="J26">
        <v>0.65177753664190652</v>
      </c>
    </row>
    <row r="27" spans="1:13" x14ac:dyDescent="0.35">
      <c r="A27">
        <v>12</v>
      </c>
      <c r="B27">
        <v>67</v>
      </c>
      <c r="C27">
        <f t="shared" si="1"/>
        <v>11</v>
      </c>
      <c r="D27">
        <f t="shared" si="2"/>
        <v>48</v>
      </c>
      <c r="E27" t="s">
        <v>115</v>
      </c>
      <c r="F27">
        <v>28</v>
      </c>
      <c r="G27">
        <v>14285.989914720059</v>
      </c>
      <c r="H27">
        <v>510.21392552571643</v>
      </c>
    </row>
    <row r="28" spans="1:13" ht="15" thickBot="1" x14ac:dyDescent="0.4">
      <c r="A28">
        <v>13</v>
      </c>
      <c r="B28">
        <v>89</v>
      </c>
      <c r="C28">
        <f t="shared" si="1"/>
        <v>12</v>
      </c>
      <c r="D28">
        <f t="shared" si="2"/>
        <v>67</v>
      </c>
      <c r="E28" s="5" t="s">
        <v>116</v>
      </c>
      <c r="F28" s="5">
        <v>29</v>
      </c>
      <c r="G28" s="5">
        <v>14392.166666666666</v>
      </c>
      <c r="H28" s="5"/>
      <c r="I28" s="5"/>
      <c r="J28" s="5"/>
    </row>
    <row r="29" spans="1:13" ht="15" thickBot="1" x14ac:dyDescent="0.4">
      <c r="A29">
        <v>14</v>
      </c>
      <c r="B29">
        <v>90</v>
      </c>
      <c r="C29">
        <f t="shared" si="1"/>
        <v>13</v>
      </c>
      <c r="D29">
        <f t="shared" si="2"/>
        <v>82</v>
      </c>
    </row>
    <row r="30" spans="1:13" x14ac:dyDescent="0.35">
      <c r="A30">
        <v>15</v>
      </c>
      <c r="B30">
        <v>23</v>
      </c>
      <c r="C30">
        <f t="shared" si="1"/>
        <v>14</v>
      </c>
      <c r="D30">
        <f t="shared" si="2"/>
        <v>67.333333333333329</v>
      </c>
      <c r="E30" s="6"/>
      <c r="F30" s="6" t="s">
        <v>123</v>
      </c>
      <c r="G30" s="6" t="s">
        <v>111</v>
      </c>
      <c r="H30" s="6" t="s">
        <v>124</v>
      </c>
      <c r="I30" s="6" t="s">
        <v>125</v>
      </c>
      <c r="J30" s="6" t="s">
        <v>126</v>
      </c>
      <c r="K30" s="6" t="s">
        <v>127</v>
      </c>
      <c r="L30" s="6" t="s">
        <v>128</v>
      </c>
      <c r="M30" s="6" t="s">
        <v>129</v>
      </c>
    </row>
    <row r="31" spans="1:13" x14ac:dyDescent="0.35">
      <c r="A31">
        <v>16</v>
      </c>
      <c r="B31">
        <v>43</v>
      </c>
      <c r="C31">
        <f t="shared" si="1"/>
        <v>15</v>
      </c>
      <c r="D31">
        <f t="shared" si="2"/>
        <v>52</v>
      </c>
      <c r="E31" t="s">
        <v>117</v>
      </c>
      <c r="F31">
        <v>50.464367816091951</v>
      </c>
      <c r="G31">
        <v>8.4585601689171916</v>
      </c>
      <c r="H31">
        <v>5.9660706796807075</v>
      </c>
      <c r="I31">
        <v>2.0050510793275872E-6</v>
      </c>
      <c r="J31">
        <v>33.137792756777188</v>
      </c>
      <c r="K31">
        <v>67.790942875406714</v>
      </c>
      <c r="L31">
        <v>33.137792756777188</v>
      </c>
      <c r="M31">
        <v>67.790942875406714</v>
      </c>
    </row>
    <row r="32" spans="1:13" ht="15" thickBot="1" x14ac:dyDescent="0.4">
      <c r="A32">
        <v>17</v>
      </c>
      <c r="B32">
        <v>63</v>
      </c>
      <c r="C32">
        <f t="shared" si="1"/>
        <v>16</v>
      </c>
      <c r="D32">
        <f t="shared" si="2"/>
        <v>43</v>
      </c>
      <c r="E32" s="5" t="s">
        <v>130</v>
      </c>
      <c r="F32" s="5">
        <v>0.21735261401557301</v>
      </c>
      <c r="G32" s="5">
        <v>0.47645984346674886</v>
      </c>
      <c r="H32" s="5">
        <v>0.45618244012780396</v>
      </c>
      <c r="I32" s="5">
        <v>0.65177753664190519</v>
      </c>
      <c r="J32" s="5">
        <v>-0.7586311321203596</v>
      </c>
      <c r="K32" s="5">
        <v>1.1933363601515057</v>
      </c>
      <c r="L32" s="5">
        <v>-0.7586311321203596</v>
      </c>
      <c r="M32" s="5">
        <v>1.1933363601515057</v>
      </c>
    </row>
    <row r="33" spans="1:7" x14ac:dyDescent="0.35">
      <c r="A33">
        <v>18</v>
      </c>
      <c r="B33">
        <v>74</v>
      </c>
      <c r="C33">
        <f t="shared" si="1"/>
        <v>17</v>
      </c>
      <c r="D33">
        <f t="shared" si="2"/>
        <v>60</v>
      </c>
    </row>
    <row r="34" spans="1:7" x14ac:dyDescent="0.35">
      <c r="A34">
        <v>19</v>
      </c>
      <c r="B34">
        <v>87</v>
      </c>
      <c r="C34">
        <f t="shared" si="1"/>
        <v>18</v>
      </c>
      <c r="D34">
        <f t="shared" si="2"/>
        <v>74.666666666666671</v>
      </c>
    </row>
    <row r="35" spans="1:7" x14ac:dyDescent="0.35">
      <c r="A35">
        <v>20</v>
      </c>
      <c r="B35">
        <v>13</v>
      </c>
      <c r="C35">
        <f t="shared" si="1"/>
        <v>19</v>
      </c>
      <c r="D35">
        <f t="shared" si="2"/>
        <v>58</v>
      </c>
    </row>
    <row r="36" spans="1:7" x14ac:dyDescent="0.35">
      <c r="A36">
        <v>21</v>
      </c>
      <c r="B36">
        <v>24</v>
      </c>
      <c r="C36">
        <f t="shared" si="1"/>
        <v>20</v>
      </c>
      <c r="D36">
        <f t="shared" si="2"/>
        <v>41.333333333333336</v>
      </c>
      <c r="E36" t="s">
        <v>131</v>
      </c>
    </row>
    <row r="37" spans="1:7" ht="15" thickBot="1" x14ac:dyDescent="0.4">
      <c r="A37">
        <v>22</v>
      </c>
      <c r="B37">
        <v>36</v>
      </c>
      <c r="C37">
        <f t="shared" si="1"/>
        <v>21</v>
      </c>
      <c r="D37">
        <f t="shared" si="2"/>
        <v>24.333333333333332</v>
      </c>
    </row>
    <row r="38" spans="1:7" x14ac:dyDescent="0.35">
      <c r="A38">
        <v>23</v>
      </c>
      <c r="B38">
        <v>79</v>
      </c>
      <c r="C38">
        <f t="shared" si="1"/>
        <v>22</v>
      </c>
      <c r="D38">
        <f t="shared" si="2"/>
        <v>46.333333333333336</v>
      </c>
      <c r="E38" s="6" t="s">
        <v>132</v>
      </c>
      <c r="F38" s="6" t="s">
        <v>133</v>
      </c>
      <c r="G38" s="6" t="s">
        <v>134</v>
      </c>
    </row>
    <row r="39" spans="1:7" x14ac:dyDescent="0.35">
      <c r="A39">
        <v>24</v>
      </c>
      <c r="B39">
        <v>85</v>
      </c>
      <c r="C39">
        <f t="shared" si="1"/>
        <v>23</v>
      </c>
      <c r="D39">
        <f t="shared" si="2"/>
        <v>66.666666666666671</v>
      </c>
      <c r="E39">
        <v>1</v>
      </c>
      <c r="F39">
        <v>50.681720430107525</v>
      </c>
      <c r="G39">
        <v>-15.681720430107525</v>
      </c>
    </row>
    <row r="40" spans="1:7" x14ac:dyDescent="0.35">
      <c r="A40">
        <v>25</v>
      </c>
      <c r="B40">
        <v>64</v>
      </c>
      <c r="C40">
        <f t="shared" si="1"/>
        <v>24</v>
      </c>
      <c r="D40">
        <f t="shared" si="2"/>
        <v>76</v>
      </c>
      <c r="E40">
        <v>2</v>
      </c>
      <c r="F40">
        <v>50.899073044123099</v>
      </c>
      <c r="G40">
        <v>-5.8990730441230994</v>
      </c>
    </row>
    <row r="41" spans="1:7" x14ac:dyDescent="0.35">
      <c r="A41">
        <v>26</v>
      </c>
      <c r="B41">
        <v>42</v>
      </c>
      <c r="C41">
        <f t="shared" si="1"/>
        <v>25</v>
      </c>
      <c r="D41">
        <f t="shared" si="2"/>
        <v>63.666666666666664</v>
      </c>
      <c r="E41">
        <v>3</v>
      </c>
      <c r="F41">
        <v>51.116425658138667</v>
      </c>
      <c r="G41">
        <v>3.8835743418613333</v>
      </c>
    </row>
    <row r="42" spans="1:7" x14ac:dyDescent="0.35">
      <c r="A42">
        <v>27</v>
      </c>
      <c r="B42">
        <v>65</v>
      </c>
      <c r="C42">
        <f t="shared" si="1"/>
        <v>26</v>
      </c>
      <c r="D42">
        <f t="shared" si="2"/>
        <v>57</v>
      </c>
      <c r="E42">
        <v>4</v>
      </c>
      <c r="F42">
        <v>51.333778272154241</v>
      </c>
      <c r="G42">
        <v>13.666221727845759</v>
      </c>
    </row>
    <row r="43" spans="1:7" x14ac:dyDescent="0.35">
      <c r="A43">
        <v>28</v>
      </c>
      <c r="B43">
        <v>42</v>
      </c>
      <c r="C43">
        <f t="shared" si="1"/>
        <v>27</v>
      </c>
      <c r="D43">
        <f t="shared" si="2"/>
        <v>49.666666666666664</v>
      </c>
      <c r="E43">
        <v>5</v>
      </c>
      <c r="F43">
        <v>51.551130886169815</v>
      </c>
      <c r="G43">
        <v>23.448869113830185</v>
      </c>
    </row>
    <row r="44" spans="1:7" x14ac:dyDescent="0.35">
      <c r="A44">
        <v>29</v>
      </c>
      <c r="B44">
        <v>75</v>
      </c>
      <c r="C44">
        <f t="shared" si="1"/>
        <v>28</v>
      </c>
      <c r="D44">
        <f t="shared" si="2"/>
        <v>60.666666666666664</v>
      </c>
      <c r="E44">
        <v>6</v>
      </c>
      <c r="F44">
        <v>51.76848350018539</v>
      </c>
      <c r="G44">
        <v>-27.76848350018539</v>
      </c>
    </row>
    <row r="45" spans="1:7" x14ac:dyDescent="0.35">
      <c r="A45">
        <v>30</v>
      </c>
      <c r="B45">
        <v>31</v>
      </c>
      <c r="C45">
        <f t="shared" si="1"/>
        <v>29</v>
      </c>
      <c r="D45">
        <f t="shared" si="2"/>
        <v>49.333333333333336</v>
      </c>
      <c r="E45">
        <v>7</v>
      </c>
      <c r="F45">
        <v>51.985836114200964</v>
      </c>
      <c r="G45">
        <v>-16.985836114200964</v>
      </c>
    </row>
    <row r="46" spans="1:7" x14ac:dyDescent="0.35">
      <c r="E46">
        <v>8</v>
      </c>
      <c r="F46">
        <v>52.203188728216531</v>
      </c>
      <c r="G46">
        <v>14.796811271783469</v>
      </c>
    </row>
    <row r="47" spans="1:7" x14ac:dyDescent="0.35">
      <c r="E47">
        <v>9</v>
      </c>
      <c r="F47">
        <v>52.420541342232106</v>
      </c>
      <c r="G47">
        <v>-7.4205413422321058</v>
      </c>
    </row>
    <row r="48" spans="1:7" x14ac:dyDescent="0.35">
      <c r="E48">
        <v>10</v>
      </c>
      <c r="F48">
        <v>52.63789395624768</v>
      </c>
      <c r="G48">
        <v>-20.63789395624768</v>
      </c>
    </row>
    <row r="49" spans="5:7" x14ac:dyDescent="0.35">
      <c r="E49">
        <v>11</v>
      </c>
      <c r="F49">
        <v>52.855246570263255</v>
      </c>
      <c r="G49">
        <v>-7.8552465702632546</v>
      </c>
    </row>
    <row r="50" spans="5:7" x14ac:dyDescent="0.35">
      <c r="E50">
        <v>12</v>
      </c>
      <c r="F50">
        <v>53.072599184278829</v>
      </c>
      <c r="G50">
        <v>13.927400815721171</v>
      </c>
    </row>
    <row r="51" spans="5:7" x14ac:dyDescent="0.35">
      <c r="E51">
        <v>13</v>
      </c>
      <c r="F51">
        <v>53.289951798294396</v>
      </c>
      <c r="G51">
        <v>35.710048201705604</v>
      </c>
    </row>
    <row r="52" spans="5:7" x14ac:dyDescent="0.35">
      <c r="E52">
        <v>14</v>
      </c>
      <c r="F52">
        <v>53.507304412309971</v>
      </c>
      <c r="G52">
        <v>36.492695587690029</v>
      </c>
    </row>
    <row r="53" spans="5:7" x14ac:dyDescent="0.35">
      <c r="E53">
        <v>15</v>
      </c>
      <c r="F53">
        <v>53.724657026325545</v>
      </c>
      <c r="G53">
        <v>-30.724657026325545</v>
      </c>
    </row>
    <row r="54" spans="5:7" x14ac:dyDescent="0.35">
      <c r="E54">
        <v>16</v>
      </c>
      <c r="F54">
        <v>53.942009640341119</v>
      </c>
      <c r="G54">
        <v>-10.942009640341119</v>
      </c>
    </row>
    <row r="55" spans="5:7" x14ac:dyDescent="0.35">
      <c r="E55">
        <v>17</v>
      </c>
      <c r="F55">
        <v>54.159362254356694</v>
      </c>
      <c r="G55">
        <v>8.8406377456433063</v>
      </c>
    </row>
    <row r="56" spans="5:7" x14ac:dyDescent="0.35">
      <c r="E56">
        <v>18</v>
      </c>
      <c r="F56">
        <v>54.376714868372268</v>
      </c>
      <c r="G56">
        <v>19.623285131627732</v>
      </c>
    </row>
    <row r="57" spans="5:7" x14ac:dyDescent="0.35">
      <c r="E57">
        <v>19</v>
      </c>
      <c r="F57">
        <v>54.594067482387835</v>
      </c>
      <c r="G57">
        <v>32.405932517612165</v>
      </c>
    </row>
    <row r="58" spans="5:7" x14ac:dyDescent="0.35">
      <c r="E58">
        <v>20</v>
      </c>
      <c r="F58">
        <v>54.81142009640341</v>
      </c>
      <c r="G58">
        <v>-41.81142009640341</v>
      </c>
    </row>
    <row r="59" spans="5:7" x14ac:dyDescent="0.35">
      <c r="E59">
        <v>21</v>
      </c>
      <c r="F59">
        <v>55.028772710418984</v>
      </c>
      <c r="G59">
        <v>-31.028772710418984</v>
      </c>
    </row>
    <row r="60" spans="5:7" x14ac:dyDescent="0.35">
      <c r="E60">
        <v>22</v>
      </c>
      <c r="F60">
        <v>55.246125324434558</v>
      </c>
      <c r="G60">
        <v>-19.246125324434558</v>
      </c>
    </row>
    <row r="61" spans="5:7" x14ac:dyDescent="0.35">
      <c r="E61">
        <v>23</v>
      </c>
      <c r="F61">
        <v>55.463477938450133</v>
      </c>
      <c r="G61">
        <v>23.536522061549867</v>
      </c>
    </row>
    <row r="62" spans="5:7" x14ac:dyDescent="0.35">
      <c r="E62">
        <v>24</v>
      </c>
      <c r="F62">
        <v>55.6808305524657</v>
      </c>
      <c r="G62">
        <v>29.3191694475343</v>
      </c>
    </row>
    <row r="63" spans="5:7" x14ac:dyDescent="0.35">
      <c r="E63">
        <v>25</v>
      </c>
      <c r="F63">
        <v>55.898183166481274</v>
      </c>
      <c r="G63">
        <v>8.1018168335187255</v>
      </c>
    </row>
    <row r="64" spans="5:7" x14ac:dyDescent="0.35">
      <c r="E64">
        <v>26</v>
      </c>
      <c r="F64">
        <v>56.115535780496849</v>
      </c>
      <c r="G64">
        <v>-14.115535780496849</v>
      </c>
    </row>
    <row r="65" spans="5:7" x14ac:dyDescent="0.35">
      <c r="E65">
        <v>27</v>
      </c>
      <c r="F65">
        <v>56.332888394512423</v>
      </c>
      <c r="G65">
        <v>8.6671116054875768</v>
      </c>
    </row>
    <row r="66" spans="5:7" x14ac:dyDescent="0.35">
      <c r="E66">
        <v>28</v>
      </c>
      <c r="F66">
        <v>56.550241008527998</v>
      </c>
      <c r="G66">
        <v>-14.550241008527998</v>
      </c>
    </row>
    <row r="67" spans="5:7" x14ac:dyDescent="0.35">
      <c r="E67">
        <v>29</v>
      </c>
      <c r="F67">
        <v>56.767593622543572</v>
      </c>
      <c r="G67">
        <v>18.232406377456428</v>
      </c>
    </row>
    <row r="68" spans="5:7" ht="15" thickBot="1" x14ac:dyDescent="0.4">
      <c r="E68" s="5">
        <v>30</v>
      </c>
      <c r="F68" s="5">
        <v>56.984946236559139</v>
      </c>
      <c r="G68" s="5">
        <v>-25.984946236559139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Assignment 1</vt:lpstr>
      <vt:lpstr>Assignment 2</vt:lpstr>
      <vt:lpstr>Assignmnet 3</vt:lpstr>
      <vt:lpstr>Assignment 4</vt:lpstr>
      <vt:lpstr>Assignment 5</vt:lpstr>
      <vt:lpstr>Assignment - 6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B</cp:lastModifiedBy>
  <dcterms:created xsi:type="dcterms:W3CDTF">2026-01-17T18:38:08Z</dcterms:created>
  <dcterms:modified xsi:type="dcterms:W3CDTF">2026-01-19T18:02:38Z</dcterms:modified>
</cp:coreProperties>
</file>